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Master_Aset" sheetId="1" state="visible" r:id="rId3"/>
    <sheet name="2_Histori_WO" sheetId="2" state="visible" r:id="rId4"/>
    <sheet name="3_Sensor_SCADA" sheetId="3" state="visible" r:id="rId5"/>
    <sheet name="0_Panduan" sheetId="4" state="visible" r:id="rId6"/>
    <sheet name="4_Tren_Minggu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<sst xmlns="http://schemas.openxmlformats.org/spreadsheetml/2006/main" count="777" uniqueCount="375">
  <si>
    <t xml:space="preserve">MASTER DATA ASSET WELLNESS — COAL HANDLING SYSTEM PLTU</t>
  </si>
  <si>
    <t xml:space="preserve">Site</t>
  </si>
  <si>
    <t xml:space="preserve">Asset ID</t>
  </si>
  <si>
    <t xml:space="preserve">Subsistem</t>
  </si>
  <si>
    <t xml:space="preserve">Deskripsi Aset</t>
  </si>
  <si>
    <t xml:space="preserve">Wellness W-19</t>
  </si>
  <si>
    <t xml:space="preserve">Wellness Score (0-100)</t>
  </si>
  <si>
    <t xml:space="preserve">Kondisi Saat Ini</t>
  </si>
  <si>
    <t xml:space="preserve">Tgl Komisioning</t>
  </si>
  <si>
    <t xml:space="preserve">Umur Aset (tahun)</t>
  </si>
  <si>
    <t xml:space="preserve">Jam Operasi Kumulatif</t>
  </si>
  <si>
    <t xml:space="preserve">Jam Operasi Bulan Ini</t>
  </si>
  <si>
    <t xml:space="preserve">ACR Rank</t>
  </si>
  <si>
    <t xml:space="preserve">MPI Rank</t>
  </si>
  <si>
    <t xml:space="preserve">No. WO Aktif</t>
  </si>
  <si>
    <t xml:space="preserve">Tipe WO</t>
  </si>
  <si>
    <t xml:space="preserve">Jadwal Selesai WO</t>
  </si>
  <si>
    <t xml:space="preserve">PIC WO</t>
  </si>
  <si>
    <t xml:space="preserve">Tgl PM Terakhir</t>
  </si>
  <si>
    <t xml:space="preserve">Interval PM (jam)</t>
  </si>
  <si>
    <t xml:space="preserve">Rekomendasi Tindakan</t>
  </si>
  <si>
    <t xml:space="preserve">KRI</t>
  </si>
  <si>
    <t xml:space="preserve">TK00BFA02GS001-001</t>
  </si>
  <si>
    <t xml:space="preserve">Electrical</t>
  </si>
  <si>
    <t xml:space="preserve">UTBK TU 00 400V PDC SWITCHGEAR COMMON COAL HANDLING MCC</t>
  </si>
  <si>
    <t xml:space="preserve">Hijau</t>
  </si>
  <si>
    <t xml:space="preserve">PM</t>
  </si>
  <si>
    <t xml:space="preserve">KETERANGAN WARNA:</t>
  </si>
  <si>
    <t xml:space="preserve">TK00BFA10GS001-001</t>
  </si>
  <si>
    <t xml:space="preserve">UTBK TU 00 400V PDC SWITCHGEAR COMMON COAL HANDLING CONTROL BUILDING LP-04</t>
  </si>
  <si>
    <t xml:space="preserve">Wajib diisi manual</t>
  </si>
  <si>
    <t xml:space="preserve">TK00BFA11GS001-001</t>
  </si>
  <si>
    <t xml:space="preserve">UTBK TU 00 400V PDC SWITCHGEAR COMMON COAL TRANSFER HOUSE LP-05</t>
  </si>
  <si>
    <t xml:space="preserve">Diisi dari SCADA/CMMS</t>
  </si>
  <si>
    <t xml:space="preserve">TK00BFA23GS001-001</t>
  </si>
  <si>
    <t xml:space="preserve">UTBK TU 00 400V PDC SWITCHGEAR COMMON ASH &amp; COAL YARD SPRAY PUMP A</t>
  </si>
  <si>
    <t xml:space="preserve">Dihitung otomatis (jangan diubah)</t>
  </si>
  <si>
    <t xml:space="preserve">TK00BFA24GS001-001</t>
  </si>
  <si>
    <t xml:space="preserve">UTBK TU 00 400V PDC SWITCHGEAR COMMON ASH &amp; COAL YARD SPRAY PUMP B</t>
  </si>
  <si>
    <t xml:space="preserve">Status: HIJAU</t>
  </si>
  <si>
    <t xml:space="preserve">TK00EAA10AE001-001</t>
  </si>
  <si>
    <t xml:space="preserve">Ship Unloader</t>
  </si>
  <si>
    <t xml:space="preserve">UTBK TU 00 SHIP UNLOADER BC-01 ELECTRIC WINCH</t>
  </si>
  <si>
    <t xml:space="preserve">Status: KUNING</t>
  </si>
  <si>
    <t xml:space="preserve">TK00EAA10AF001-001</t>
  </si>
  <si>
    <t xml:space="preserve">UTBK TU 00 SHIP UNLOADER BC-01 CONVEYOR</t>
  </si>
  <si>
    <t xml:space="preserve">Status: MERAH</t>
  </si>
  <si>
    <t xml:space="preserve">TK00EAA10BF001-001</t>
  </si>
  <si>
    <t xml:space="preserve">UTBK TU 00 SHIP UNLOADER TT-01 TRANSFER TOWER</t>
  </si>
  <si>
    <t xml:space="preserve">TK00EAA10BF101-001</t>
  </si>
  <si>
    <t xml:space="preserve">UTBK TU 00 SHIP UNLOADER JETTY A STRUCTURE</t>
  </si>
  <si>
    <t xml:space="preserve">TK00EAA10BF102-001</t>
  </si>
  <si>
    <t xml:space="preserve">UTBK TU 00 SHIP UNLOADER JETTY B STRUCTURE</t>
  </si>
  <si>
    <t xml:space="preserve">TK00EAA10BR001-001</t>
  </si>
  <si>
    <t xml:space="preserve">UTBK TU 00 SHIP UNLOADER BC-01 HOPPER</t>
  </si>
  <si>
    <t xml:space="preserve">TK00EAA10CG001-001</t>
  </si>
  <si>
    <t xml:space="preserve">UTBK TU 00 SHIP UNLOADER BC-01 PULLCORD SWITCH</t>
  </si>
  <si>
    <t xml:space="preserve">TK00EAA10CG002-001</t>
  </si>
  <si>
    <t xml:space="preserve">UTBK TU 00 SHIP UNLOADER BC-01 BELT ALIGNMENT SWITCH</t>
  </si>
  <si>
    <t xml:space="preserve">TK00EAA10CG003-001</t>
  </si>
  <si>
    <t xml:space="preserve">UTBK TU 00 SHIP UNLOADER BC-01 BLOCK CHUTE SWITCH</t>
  </si>
  <si>
    <t xml:space="preserve">TK00EAA10CS001-001</t>
  </si>
  <si>
    <t xml:space="preserve">UTBK TU 00 SHIP UNLOADER BC-01 UNDER SPEED SWITCH</t>
  </si>
  <si>
    <t xml:space="preserve">TK00EAA10EG001-001</t>
  </si>
  <si>
    <t xml:space="preserve">UTBK TU 00 SHIP UNLOADER BC-01 SIREN WITH FLASHING LIGHT</t>
  </si>
  <si>
    <t xml:space="preserve">TK00EAA10GH001-001</t>
  </si>
  <si>
    <t xml:space="preserve">UTBK TU 00 SHIP UNLOADER BC-01 LCS (LOCAL CONTROL STATION)</t>
  </si>
  <si>
    <t xml:space="preserve">TK00EAA20AF001-001</t>
  </si>
  <si>
    <t xml:space="preserve">UTBK TU 00 SHIP UNLOADER BC-02 CONVEYOR</t>
  </si>
  <si>
    <t xml:space="preserve">TK00EAA20AT001-001</t>
  </si>
  <si>
    <t xml:space="preserve">UTBK TU 00 SHIP UNLOADER BC-02 MAGNETIC SEPARATOR</t>
  </si>
  <si>
    <t xml:space="preserve">TK00EAA20AT002-001</t>
  </si>
  <si>
    <t xml:space="preserve">UTBK TU 00 SHIP UNLOADER BC-02 METAL DETECTOR</t>
  </si>
  <si>
    <t xml:space="preserve">TK00EAA20BF001-001</t>
  </si>
  <si>
    <t xml:space="preserve">UTBK TU 00 SHIP UNLOADER TT-02 TRANSFER TOWER</t>
  </si>
  <si>
    <t xml:space="preserve">TK00EAA20BF101-001</t>
  </si>
  <si>
    <t xml:space="preserve">UTBK TU 00 SHIP UNLOADER BC-02 TRESTLE STRUCTURE</t>
  </si>
  <si>
    <t xml:space="preserve">TK00EAA20BF102-001</t>
  </si>
  <si>
    <t xml:space="preserve">UTBK TU 00 SHIP UNLOADER BC-02 CAUSEWAY STRUCTURE</t>
  </si>
  <si>
    <t xml:space="preserve">TK00EAA20CG001-001</t>
  </si>
  <si>
    <t xml:space="preserve">UTBK TU 00 SHIP UNLOADER BC-02 PULLCORD SWITCH</t>
  </si>
  <si>
    <t xml:space="preserve">TK00EAA20CG002-001</t>
  </si>
  <si>
    <t xml:space="preserve">UTBK TU 00 SHIP UNLOADER BC-02 BELT ALIGNMENT SWITCH</t>
  </si>
  <si>
    <t xml:space="preserve">TK00EAA20CS001-001</t>
  </si>
  <si>
    <t xml:space="preserve">UTBK TU 00 SHIP UNLOADER BC-02 UNDER SPEED SWITCH</t>
  </si>
  <si>
    <t xml:space="preserve">TK00EAA20CW001-001</t>
  </si>
  <si>
    <t xml:space="preserve">UTBK TU 00 SHIP UNLOADER BC-02 BELT SCALE</t>
  </si>
  <si>
    <t xml:space="preserve">TK00EAA20EG001-001</t>
  </si>
  <si>
    <t xml:space="preserve">UTBK TU 00 SHIP UNLOADER BC-02 SIREN WITH FLASHING LIGHT</t>
  </si>
  <si>
    <t xml:space="preserve">TK00EAA20GH001-001</t>
  </si>
  <si>
    <t xml:space="preserve">UTBK TU 00 SHIP UNLOADER BC-02 LCS (LOCAL CONTROL STATION)</t>
  </si>
  <si>
    <t xml:space="preserve">TK00EAA30AF001-001</t>
  </si>
  <si>
    <t xml:space="preserve">UTBK TU 00 SHIP UNLOADER BC-03 CONVEYOR</t>
  </si>
  <si>
    <t xml:space="preserve">TK00EAA30CG001-001</t>
  </si>
  <si>
    <t xml:space="preserve">UTBK TU 00 SHIP UNLOADER BC-03 PULLCORD SWITCH</t>
  </si>
  <si>
    <t xml:space="preserve">TK00EAA30CG002-001</t>
  </si>
  <si>
    <t xml:space="preserve">UTBK TU 00 SHIP UNLOADER BC-03 BELT ALIGNMENT SWITCH</t>
  </si>
  <si>
    <t xml:space="preserve">TK00EAA30CS001-001</t>
  </si>
  <si>
    <t xml:space="preserve">UTBK TU 00 SHIP UNLOADER BC-03 UNDER SPEED SWITCH</t>
  </si>
  <si>
    <t xml:space="preserve">TK00EAA30EG001-001</t>
  </si>
  <si>
    <t xml:space="preserve">UTBK TU 00 SHIP UNLOADER BC-03 SIREN WITH FLASHING LIGHT</t>
  </si>
  <si>
    <t xml:space="preserve">TK00EAA30GH001-001</t>
  </si>
  <si>
    <t xml:space="preserve">UTBK TU 00 SHIP UNLOADER BC-03 LCS (LOCAL CONTROL STATION)</t>
  </si>
  <si>
    <t xml:space="preserve">TK00EAA40AF001-001</t>
  </si>
  <si>
    <t xml:space="preserve">UTBK TU 00 SHIP UNLOADER BC-04 CONVEYOR (TELESCOPIC)</t>
  </si>
  <si>
    <t xml:space="preserve">TK00EAA40CG001-001</t>
  </si>
  <si>
    <t xml:space="preserve">UTBK TU 00 SHIP UNLOADER BC-04 PULLCORD SWITCH</t>
  </si>
  <si>
    <t xml:space="preserve">TK00EAA40CG002-001</t>
  </si>
  <si>
    <t xml:space="preserve">UTBK TU 00 SHIP UNLOADER BC-04 BELT ALIGNMENT SWITCH</t>
  </si>
  <si>
    <t xml:space="preserve">TK00EAA40CG003-001</t>
  </si>
  <si>
    <t xml:space="preserve">UTBK TU 00 SHIP UNLOADER BC-04 TRAVELLING LIMIT SWITCH</t>
  </si>
  <si>
    <t xml:space="preserve">TK00EAA40CS001-001</t>
  </si>
  <si>
    <t xml:space="preserve">UTBK TU 00 SHIP UNLOADER BC-04 UNDER SPEED SWITCH</t>
  </si>
  <si>
    <t xml:space="preserve">TK00EAA40EG001-001</t>
  </si>
  <si>
    <t xml:space="preserve">UTBK TU 00 SHIP UNLOADER BC-04 SIREN WITH FLASHING LIGHT</t>
  </si>
  <si>
    <t xml:space="preserve">TK00EAA40GH001-001</t>
  </si>
  <si>
    <t xml:space="preserve">UTBK TU 00 SHIP UNLOADER BC-04 LCS (LOCAL CONTROL STATION)</t>
  </si>
  <si>
    <t xml:space="preserve">TK00EAA50AA001-001</t>
  </si>
  <si>
    <t xml:space="preserve">UTBK TU 00 SHIP UNLOADER FIRE HYDRANT DELUGE VALVE</t>
  </si>
  <si>
    <t xml:space="preserve">TK00EAA50AZ001-001</t>
  </si>
  <si>
    <t xml:space="preserve">UTBK TU 00 SHIP UNLOADER FIRE HYDRANT PILAR</t>
  </si>
  <si>
    <t xml:space="preserve">TK00EAA50BN001-001</t>
  </si>
  <si>
    <t xml:space="preserve">UTBK TU 00 SHIP UNLOADER FIRE HYDRANT SPRINKLER</t>
  </si>
  <si>
    <t xml:space="preserve">TK00EAA50BR001-001</t>
  </si>
  <si>
    <t xml:space="preserve">UTBK TU 00 SHIP UNLOADER FIRE HYDRANT LINE PIPING</t>
  </si>
  <si>
    <t xml:space="preserve">TK00EAA50GH001-001</t>
  </si>
  <si>
    <t xml:space="preserve">UTBK TU 00 SHIP UNLOADER FIRE &amp; ALARM PROTECTION CONTROL</t>
  </si>
  <si>
    <t xml:space="preserve">TK00EAA60GS001-001</t>
  </si>
  <si>
    <t xml:space="preserve">UTBK TU 00 SHIP UNLOADER MV SWITCHGEAR LBS PANEL</t>
  </si>
  <si>
    <t xml:space="preserve">TK00EAA60GS002-001</t>
  </si>
  <si>
    <t xml:space="preserve">UTBK TU 00 SHIP UNLOADER LV SWITCHGEAR PANEL</t>
  </si>
  <si>
    <t xml:space="preserve">TK00EAA60GS003-001</t>
  </si>
  <si>
    <t xml:space="preserve">UTBK TU 00 SHIP UNLOADER MCC-01 PANEL &amp; BREAKER</t>
  </si>
  <si>
    <t xml:space="preserve">TK00EAA60GS004-001</t>
  </si>
  <si>
    <t xml:space="preserve">UTBK TU 00 SHIP UNLOADER SDP PANEL &amp; BREAKER</t>
  </si>
  <si>
    <t xml:space="preserve">TK00EAA60GT001-001</t>
  </si>
  <si>
    <t xml:space="preserve">UTBK TU 00 SHIP UNLOADER INCOMING TRANSFORMER 20KV/400V</t>
  </si>
  <si>
    <t xml:space="preserve">TK00EAA70GH001-001</t>
  </si>
  <si>
    <t xml:space="preserve">UTBK TU 00 SHIP UNLOADER PLC CONTROL DEVICE</t>
  </si>
  <si>
    <t xml:space="preserve">TK00EAA70GH002-001</t>
  </si>
  <si>
    <t xml:space="preserve">UTBK TU 00 SHIP UNLOADER HMI LOCAL CONTROL</t>
  </si>
  <si>
    <t xml:space="preserve">TK00EAA70GH003-001</t>
  </si>
  <si>
    <t xml:space="preserve">UTBK TU 00 SHIP UNLOADER WINCC SCADA SERVER</t>
  </si>
  <si>
    <t xml:space="preserve">TK00EAC00AF001-001</t>
  </si>
  <si>
    <t xml:space="preserve">Belt Feeder</t>
  </si>
  <si>
    <t xml:space="preserve">UTBK TU 00 BELT FEEDER 01 A</t>
  </si>
  <si>
    <t xml:space="preserve">TK00EAC00AF002-001</t>
  </si>
  <si>
    <t xml:space="preserve">UTBK TU 00 BELT FEEDER 01 B</t>
  </si>
  <si>
    <t xml:space="preserve">TK00EAC10AF001-001</t>
  </si>
  <si>
    <t xml:space="preserve">Belt Conveyor</t>
  </si>
  <si>
    <t xml:space="preserve">UTBK TU 00 BELT CONVEYOR 01 A</t>
  </si>
  <si>
    <t xml:space="preserve">TK00EAC10AF002-001</t>
  </si>
  <si>
    <t xml:space="preserve">UTBK TU 00 BELT CONVEYOR 01 B</t>
  </si>
  <si>
    <t xml:space="preserve">TK00EAC20AF001-001</t>
  </si>
  <si>
    <t xml:space="preserve">UTBK TU 00 BELT CONVEYOR 02 A</t>
  </si>
  <si>
    <t xml:space="preserve">TK00EAC20AF002-001</t>
  </si>
  <si>
    <t xml:space="preserve">UTBK TU 00 BELT CONVEYOR 02 B</t>
  </si>
  <si>
    <t xml:space="preserve">TK00EAC30AF001-001</t>
  </si>
  <si>
    <t xml:space="preserve">UTBK TU 00 BELT CONVEYOR 03 A</t>
  </si>
  <si>
    <t xml:space="preserve">TK00EAC30AF002-001</t>
  </si>
  <si>
    <t xml:space="preserve">UTBK TU 00 BELT CONVEYOR 03 B</t>
  </si>
  <si>
    <t xml:space="preserve">TK00EAD10AF001-001</t>
  </si>
  <si>
    <t xml:space="preserve">Mobile Equipment</t>
  </si>
  <si>
    <t xml:space="preserve">UTBK TU 00 DUMP TRUCK 01</t>
  </si>
  <si>
    <t xml:space="preserve">TK00EAD10AF002-001</t>
  </si>
  <si>
    <t xml:space="preserve">UTBK TU 00 DUMP TRUCK 02</t>
  </si>
  <si>
    <t xml:space="preserve">TK00EAD10AF003-001</t>
  </si>
  <si>
    <t xml:space="preserve">UTBK TU 00 DUMP TRUCK 03</t>
  </si>
  <si>
    <t xml:space="preserve">Kuning</t>
  </si>
  <si>
    <t xml:space="preserve">Aus pada kampas kopling &amp; kendala pada sistem rem</t>
  </si>
  <si>
    <t xml:space="preserve">202610604</t>
  </si>
  <si>
    <t xml:space="preserve">CM</t>
  </si>
  <si>
    <t xml:space="preserve">2026-04-26</t>
  </si>
  <si>
    <t xml:space="preserve">Budi Santoso</t>
  </si>
  <si>
    <t xml:space="preserve">Perbaikan pada sisi Kopling dan Rem Dump Truck</t>
  </si>
  <si>
    <t xml:space="preserve">TK00EAD10AF004-001</t>
  </si>
  <si>
    <t xml:space="preserve">UTBK TU 00 DUMP TRUCK 04</t>
  </si>
  <si>
    <t xml:space="preserve">TK00EAD30AF001-001</t>
  </si>
  <si>
    <t xml:space="preserve">UTBK TU 00 LOADER</t>
  </si>
  <si>
    <t xml:space="preserve">TK00EAD40AF001-001</t>
  </si>
  <si>
    <t xml:space="preserve">UTBK TU 00 WHEEL LOADER 01</t>
  </si>
  <si>
    <t xml:space="preserve">TK00EAD40AF002-001</t>
  </si>
  <si>
    <t xml:space="preserve">UTBK TU 00 WHEEL LOADER 02</t>
  </si>
  <si>
    <t xml:space="preserve">TK00EAD50AF001-001</t>
  </si>
  <si>
    <t xml:space="preserve">UTBK TU 00 EXCAVATOR</t>
  </si>
  <si>
    <t xml:space="preserve">UTBK TU 00 WHEEL / SKID LOADER 01</t>
  </si>
  <si>
    <t xml:space="preserve">UTBK TU 00 WHEEL / SKID LOADER 02</t>
  </si>
  <si>
    <t xml:space="preserve">TK00EAD60AF001-001</t>
  </si>
  <si>
    <t xml:space="preserve">UTBK TU 00 FORK LIFT</t>
  </si>
  <si>
    <t xml:space="preserve">Gangguan pada transmisi</t>
  </si>
  <si>
    <t xml:space="preserve">2026145918</t>
  </si>
  <si>
    <t xml:space="preserve">Andi Kurniawan</t>
  </si>
  <si>
    <t xml:space="preserve">Perbaikan Transmisi Fork Lift</t>
  </si>
  <si>
    <t xml:space="preserve">TK01EAE10BB001-001</t>
  </si>
  <si>
    <t xml:space="preserve">Coal Handling</t>
  </si>
  <si>
    <t xml:space="preserve">UTBK TU 10 COAL BUNKER</t>
  </si>
  <si>
    <t xml:space="preserve">TK02EAE10BB001-001</t>
  </si>
  <si>
    <t xml:space="preserve">UTBK TU 20 COAL BUNKER</t>
  </si>
  <si>
    <t xml:space="preserve">TK00EBC10AJ001-001</t>
  </si>
  <si>
    <t xml:space="preserve">Crusher</t>
  </si>
  <si>
    <t xml:space="preserve">UTBK TU 00 COAL CRUSHER A</t>
  </si>
  <si>
    <t xml:space="preserve">TK00EBC10AJ002-001</t>
  </si>
  <si>
    <t xml:space="preserve">UTBK TU 00 COAL CRUSHER B</t>
  </si>
  <si>
    <t xml:space="preserve">Mata crusher tumpul</t>
  </si>
  <si>
    <t xml:space="preserve">2025133335</t>
  </si>
  <si>
    <t xml:space="preserve">2025-06-25</t>
  </si>
  <si>
    <t xml:space="preserve">Rudi Hartono</t>
  </si>
  <si>
    <t xml:space="preserve">Penggantian mata crusher baru</t>
  </si>
  <si>
    <t xml:space="preserve">TK00EBM10AN001-001</t>
  </si>
  <si>
    <t xml:space="preserve">Dust Control</t>
  </si>
  <si>
    <t xml:space="preserve">UTBK TU 00 DUST SPRAY</t>
  </si>
  <si>
    <t xml:space="preserve">Operasi, namun bocor pada sisi valve</t>
  </si>
  <si>
    <t xml:space="preserve">202311111</t>
  </si>
  <si>
    <t xml:space="preserve">2026-12-01</t>
  </si>
  <si>
    <t xml:space="preserve">Dedi Prasetyo</t>
  </si>
  <si>
    <t xml:space="preserve">Revitalisasi Dust Spray - perbaikan valve bocor</t>
  </si>
  <si>
    <t xml:space="preserve">TK00EGA01CF001-001</t>
  </si>
  <si>
    <t xml:space="preserve">Fuel Oil</t>
  </si>
  <si>
    <t xml:space="preserve">UTBK TU 00 FUEL OIL (HSD) RECEIVING FUEL OIL METERING</t>
  </si>
  <si>
    <t xml:space="preserve">TK00EGB01BB001-001</t>
  </si>
  <si>
    <t xml:space="preserve">UTBK TU 00 FUEL OIL (HSD) STORAGE TANK</t>
  </si>
  <si>
    <t xml:space="preserve">TK00EGC01AP001-001</t>
  </si>
  <si>
    <t xml:space="preserve">UTBK TU 00 FUEL OIL (HSD) UNLOADING PUMP</t>
  </si>
  <si>
    <t xml:space="preserve">TK00EGC01AP002-001</t>
  </si>
  <si>
    <t xml:space="preserve">UTBK TU 00 FUEL OIL (HSD) FUEL OIL TRANSFER PUMP</t>
  </si>
  <si>
    <t xml:space="preserve">TK00EGD01CF001-001</t>
  </si>
  <si>
    <t xml:space="preserve">UTBK TU 00 FUEL OIL (HSD) DAILY USE DISPENSER &amp; METERING</t>
  </si>
  <si>
    <t xml:space="preserve">TK00ETH01BB001-001</t>
  </si>
  <si>
    <t xml:space="preserve">Civil</t>
  </si>
  <si>
    <t xml:space="preserve">UTBK TU 00 ASH YARD</t>
  </si>
  <si>
    <t xml:space="preserve">TK00EAE10BB001-001</t>
  </si>
  <si>
    <t xml:space="preserve">UTBK TU 00 COAL YARD</t>
  </si>
  <si>
    <t xml:space="preserve">Dinding area Coal Shed pecah</t>
  </si>
  <si>
    <t xml:space="preserve">202510057</t>
  </si>
  <si>
    <t xml:space="preserve">Hendra Wijaya</t>
  </si>
  <si>
    <t xml:space="preserve">Revitalisasi Coal Yard - perbaikan dinding</t>
  </si>
  <si>
    <t xml:space="preserve">HISTORI WORK ORDER — COAL HANDLING SYSTEM</t>
  </si>
  <si>
    <t xml:space="preserve">No. WO</t>
  </si>
  <si>
    <t xml:space="preserve">Prioritas</t>
  </si>
  <si>
    <t xml:space="preserve">Tgl Dibuat</t>
  </si>
  <si>
    <t xml:space="preserve">Tgl Mulai</t>
  </si>
  <si>
    <t xml:space="preserve">Tgl Selesai Rencana</t>
  </si>
  <si>
    <t xml:space="preserve">Tgl Selesai Aktual</t>
  </si>
  <si>
    <t xml:space="preserve">Durasi Aktual (jam)</t>
  </si>
  <si>
    <t xml:space="preserve">Downtime Terkait (jam)</t>
  </si>
  <si>
    <t xml:space="preserve">PIC</t>
  </si>
  <si>
    <t xml:space="preserve">Keterangan / Temuan</t>
  </si>
  <si>
    <t xml:space="preserve">High</t>
  </si>
  <si>
    <t xml:space="preserve">2025-03-01</t>
  </si>
  <si>
    <t xml:space="preserve">2025-03-05</t>
  </si>
  <si>
    <t xml:space="preserve">8</t>
  </si>
  <si>
    <t xml:space="preserve">Penggantian mata crusher, jadwal sesuai rencana</t>
  </si>
  <si>
    <t xml:space="preserve">Medium</t>
  </si>
  <si>
    <t xml:space="preserve">2026-04-01</t>
  </si>
  <si>
    <t xml:space="preserve">2026-04-10</t>
  </si>
  <si>
    <t xml:space="preserve">12</t>
  </si>
  <si>
    <t xml:space="preserve">Perbaikan kopling dan rem, kampas aus</t>
  </si>
  <si>
    <t xml:space="preserve">2026-05-01</t>
  </si>
  <si>
    <t xml:space="preserve">Gangguan transmisi, menunggu spare part</t>
  </si>
  <si>
    <t xml:space="preserve">Low</t>
  </si>
  <si>
    <t xml:space="preserve">2023-11-01</t>
  </si>
  <si>
    <t xml:space="preserve">2023-11-15</t>
  </si>
  <si>
    <t xml:space="preserve">4</t>
  </si>
  <si>
    <t xml:space="preserve">Valve bocor, revitalisasi dijadwalkan 2026</t>
  </si>
  <si>
    <t xml:space="preserve">2025-02-01</t>
  </si>
  <si>
    <t xml:space="preserve">Dinding Coal Shed pecah, menunggu anggaran revitalisasi</t>
  </si>
  <si>
    <t xml:space="preserve">PM-2026-001</t>
  </si>
  <si>
    <t xml:space="preserve">Routine</t>
  </si>
  <si>
    <t xml:space="preserve">2026-01-15</t>
  </si>
  <si>
    <t xml:space="preserve">2026-01-17</t>
  </si>
  <si>
    <t xml:space="preserve">16</t>
  </si>
  <si>
    <t xml:space="preserve">0</t>
  </si>
  <si>
    <t xml:space="preserve">Agus Mulyadi</t>
  </si>
  <si>
    <t xml:space="preserve">PM 2000 jam: penggantian idler, pelumasan, pengecekan belt tension</t>
  </si>
  <si>
    <t xml:space="preserve">PM-2026-002</t>
  </si>
  <si>
    <t xml:space="preserve">2026-02-10</t>
  </si>
  <si>
    <t xml:space="preserve">2026-02-12</t>
  </si>
  <si>
    <t xml:space="preserve">PM 2000 jam: kondisi baik, tidak ada temuan</t>
  </si>
  <si>
    <t xml:space="preserve">PM-2026-003</t>
  </si>
  <si>
    <t xml:space="preserve">2026-03-01</t>
  </si>
  <si>
    <t xml:space="preserve">2026-03-03</t>
  </si>
  <si>
    <t xml:space="preserve">20</t>
  </si>
  <si>
    <t xml:space="preserve">2</t>
  </si>
  <si>
    <t xml:space="preserve">PM 4000 jam: penggantian liner, eye bolt, dan cek jaw plate</t>
  </si>
  <si>
    <t xml:space="preserve">⬆ Contoh isian di atas. Tambahkan histori WO dari sistem CMMS (SAP PM / Maximo) untuk semua aset dan semua periode.</t>
  </si>
  <si>
    <t xml:space="preserve">DATA SENSOR REAL-TIME — INPUT DARI SCADA / HISTORIAN (DIISI OTOMATIS ATAU MANUAL PERIODIK)</t>
  </si>
  <si>
    <t xml:space="preserve">Tanggal &amp; Jam</t>
  </si>
  <si>
    <t xml:space="preserve">Vibrasi Bearing (mm/s)</t>
  </si>
  <si>
    <t xml:space="preserve">Batas Vibrasi (mm/s)</t>
  </si>
  <si>
    <t xml:space="preserve">Suhu Bearing (°C)</t>
  </si>
  <si>
    <t xml:space="preserve">Batas Suhu (°C)</t>
  </si>
  <si>
    <t xml:space="preserve">Arus Motor (A)</t>
  </si>
  <si>
    <t xml:space="preserve">Arus Nominal (A)</t>
  </si>
  <si>
    <t xml:space="preserve">Tegangan (V)</t>
  </si>
  <si>
    <t xml:space="preserve">Tekanan Hidraulik (bar)</t>
  </si>
  <si>
    <t xml:space="preserve">Kecepatan Belt (m/s)</t>
  </si>
  <si>
    <t xml:space="preserve">Coal Flow Rate (t/h)</t>
  </si>
  <si>
    <t xml:space="preserve">Coal Flow Nominal (t/h)</t>
  </si>
  <si>
    <t xml:space="preserve">Status Sensor</t>
  </si>
  <si>
    <t xml:space="preserve">Catatan Operator</t>
  </si>
  <si>
    <t xml:space="preserve">08/05/2026 07:42</t>
  </si>
  <si>
    <t xml:space="preserve">Online</t>
  </si>
  <si>
    <t xml:space="preserve">⬆ Isi sheet ini dari export SCADA/OSIsoft PI/Wonderware setiap shift atau harian. Tambahkan tag sensor sesuai konfigurasi DCS.</t>
  </si>
  <si>
    <t xml:space="preserve">PANDUAN PENGISIAN — TEMPLATE ASSET WELLNESS COAL HANDLING</t>
  </si>
  <si>
    <t xml:space="preserve">No</t>
  </si>
  <si>
    <t xml:space="preserve">Field / Sheet</t>
  </si>
  <si>
    <t xml:space="preserve">Keterangan &amp; Cara Pengisian</t>
  </si>
  <si>
    <t xml:space="preserve">Sumber Data</t>
  </si>
  <si>
    <t xml:space="preserve">Frekuensi Update</t>
  </si>
  <si>
    <t xml:space="preserve">1_Master_Aset &gt; Subsistem</t>
  </si>
  <si>
    <t xml:space="preserve">Isi dengan kategori aset: Ship Unloader, Belt Conveyor, Belt Feeder, Crusher, Mobile Equipment, Electrical, Coal Handling, Dust Control, Fuel Oil, Civil</t>
  </si>
  <si>
    <t xml:space="preserve">Manual</t>
  </si>
  <si>
    <t xml:space="preserve">Sekali (saat setup)</t>
  </si>
  <si>
    <t xml:space="preserve">1_Master_Aset &gt; Wellness Score (0-100)</t>
  </si>
  <si>
    <t xml:space="preserve">Isi nilai numerik 0-100. Panduan: Hijau=75-100, Kuning=40-74, Merah=0-39. Jika ada formula dari sistem RCM, gunakan nilai tersebut.</t>
  </si>
  <si>
    <t xml:space="preserve">RCM / Manual</t>
  </si>
  <si>
    <t xml:space="preserve">Mingguan</t>
  </si>
  <si>
    <t xml:space="preserve">1_Master_Aset &gt; Tgl Komisioning</t>
  </si>
  <si>
    <t xml:space="preserve">Tanggal aset pertama kali beroperasi komersial. Format DD/MM/YYYY. Lihat dokumen As-Built atau SAP PM.</t>
  </si>
  <si>
    <t xml:space="preserve">SAP PM / Dokumen Teknis</t>
  </si>
  <si>
    <t xml:space="preserve">1_Master_Aset &gt; Jam Operasi Kumulatif</t>
  </si>
  <si>
    <t xml:space="preserve">Total jam operasi sejak komisioning. Ambil dari SCADA historian (tag: running hours) atau logsheet operator harian.</t>
  </si>
  <si>
    <t xml:space="preserve">SCADA / Logsheet</t>
  </si>
  <si>
    <t xml:space="preserve">1_Master_Aset &gt; ACR Rank</t>
  </si>
  <si>
    <t xml:space="preserve">Asset Criticality Ranking score. Isi dari hasil assessment RCM/FMEA terakhir. Jika belum ada, isi estimasi 1-100 (100=paling kritis).</t>
  </si>
  <si>
    <t xml:space="preserve">Dokumen RCM / FMEA</t>
  </si>
  <si>
    <t xml:space="preserve">Tahunan / saat ada perubahan</t>
  </si>
  <si>
    <t xml:space="preserve">1_Master_Aset &gt; MPI Rank</t>
  </si>
  <si>
    <t xml:space="preserve">Maintenance Priority Index. Formula MPI = f(Consequence of Failure x Probability of Failure). Isi dari sistem CMMS jika tersedia.</t>
  </si>
  <si>
    <t xml:space="preserve">CMMS / SAP PM</t>
  </si>
  <si>
    <t xml:space="preserve">2_Histori_WO</t>
  </si>
  <si>
    <t xml:space="preserve">Isi semua WO yang pernah dibuat untuk setiap aset: PM rutin, CM (corrective), EM (emergency). Kolom 'Downtime Terkait' diisi durasi aset tidak beroperasi akibat WO tersebut.</t>
  </si>
  <si>
    <t xml:space="preserve">SAP PM / Maximo / CMMS</t>
  </si>
  <si>
    <t xml:space="preserve">Setiap ada WO baru atau selesai</t>
  </si>
  <si>
    <t xml:space="preserve">3_Sensor_SCADA</t>
  </si>
  <si>
    <t xml:space="preserve">Isi dari export data SCADA/OSIsoft PI/Wonderware per shift atau harian. Prioritaskan aset dengan wellness Kuning/Merah. Batas (limit) nilai sensor ambil dari manual book OEM.</t>
  </si>
  <si>
    <t xml:space="preserve">SCADA / OSIsoft PI</t>
  </si>
  <si>
    <t xml:space="preserve">Per shift / harian</t>
  </si>
  <si>
    <t xml:space="preserve">4_Tren_Mingguan</t>
  </si>
  <si>
    <t xml:space="preserve">Update kolom minggu berjalan setiap Jumat atau akhir minggu. Hitung jumlah aset Hijau/Kuning/Merah dari sheet 1_Master_Aset.</t>
  </si>
  <si>
    <t xml:space="preserve">Rekap dari 1_Master_Aset</t>
  </si>
  <si>
    <t xml:space="preserve">Mingguan (tiap Jumat)</t>
  </si>
  <si>
    <t xml:space="preserve">Kolom warna MERAH</t>
  </si>
  <si>
    <t xml:space="preserve">Jangan dihapus atau diganti format. Kolom formula dihitung otomatis oleh Excel.</t>
  </si>
  <si>
    <t xml:space="preserve">Otomatis</t>
  </si>
  <si>
    <t xml:space="preserve">TREN WELLNESS MINGGUAN — COAL HANDLING SYSTEM 2026</t>
  </si>
  <si>
    <t xml:space="preserve">Status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</si>
  <si>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</si>
  <si>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</si>
  <si>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</si>
  <si>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</si>
  <si>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</si>
  <si>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</si>
  <si>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</si>
  <si>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</si>
  <si>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</si>
  <si>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</si>
  <si>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</si>
  <si>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</si>
  <si>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</si>
  <si>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</si>
  <si>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</si>
  <si>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</si>
  <si>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</si>
  <si>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</si>
  <si>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</si>
  <si>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</si>
  <si>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</si>
  <si>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</si>
  <si>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MERAH</t>
  </si>
  <si>
    <t xml:space="preserve">KUNING</t>
  </si>
  <si>
    <t xml:space="preserve">HIJAU</t>
  </si>
  <si>
    <t xml:space="preserve">TOTAL</t>
  </si>
  <si>
    <t xml:space="preserve">WELLNESS SCORE (%)</t>
  </si>
  <si>
    <t xml:space="preserve">⬆ Kolom W20–W52 diisi setiap akhir minggu berdasarkan rekap dari sheet 1_Master_Aset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</si>
</sst>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375623"/>
        <bgColor rgb="FF4F6228"/>
      </patternFill>
    </fill>
    <fill>
      <patternFill patternType="solid">
        <fgColor rgb="FF1F497D"/>
        <bgColor rgb="FF1F4E79"/>
      </patternFill>
    </fill>
    <fill>
      <patternFill patternType="solid">
        <fgColor rgb="FF7B2D8B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4F6228"/>
        <bgColor rgb="FF375623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FE0E0"/>
        <bgColor rgb="FFFCE4D6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BFBFBF"/>
      <rgbColor rgb="FF7F7F7F"/>
      <rgbColor rgb="FF9999FF"/>
      <rgbColor rgb="FF7B2D8B"/>
      <rgbColor rgb="FFFFF2CC"/>
      <rgbColor rgb="FFEBF3FB"/>
      <rgbColor rgb="FF660066"/>
      <rgbColor rgb="FFFF8080"/>
      <rgbColor rgb="FF0066CC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833C00"/>
      <rgbColor rgb="FF993366"/>
      <rgbColor rgb="FF1F497D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5"/>
    <col collapsed="false" customWidth="true" hidden="false" outlineLevel="0" max="9" min="8" style="0" width="16"/>
    <col collapsed="false" customWidth="true" hidden="false" outlineLevel="0" max="11" min="10" style="0" width="18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5"/>
    <col collapsed="false" customWidth="true" hidden="false" outlineLevel="0" max="20" min="20" style="0" width="35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7" t="s">
        <v>18</v>
      </c>
      <c r="S2" s="7" t="s">
        <v>19</v>
      </c>
      <c r="T2" s="7" t="s">
        <v>20</v>
      </c>
    </row>
    <row r="3" customFormat="false" ht="15.75" hidden="false" customHeight="true" outlineLevel="0" collapsed="false">
      <c r="A3" s="8" t="s">
        <v>21</v>
      </c>
      <c r="B3" s="9" t="s">
        <v>22</v>
      </c>
      <c r="C3" s="9" t="s">
        <v>23</v>
      </c>
      <c r="D3" s="9" t="s">
        <v>24</v>
      </c>
      <c r="E3" s="8" t="s">
        <v>25</v>
      </c>
      <c r="F3" s="8" t="n">
        <v>83</v>
      </c>
      <c r="G3" s="9"/>
      <c r="H3" s="10" t="n">
        <v>42005</v>
      </c>
      <c r="I3" s="8" t="n">
        <f aca="true">DATEDIF(H3,TODAY(),"Y")</f>
        <v>11</v>
      </c>
      <c r="J3" s="8" t="n">
        <v>3154</v>
      </c>
      <c r="K3" s="8" t="n">
        <v>292</v>
      </c>
      <c r="L3" s="8" t="n">
        <v>27.55</v>
      </c>
      <c r="M3" s="8" t="n">
        <v>52.07</v>
      </c>
      <c r="N3" s="9"/>
      <c r="O3" s="8" t="s">
        <v>26</v>
      </c>
      <c r="P3" s="9"/>
      <c r="Q3" s="9"/>
      <c r="R3" s="11" t="n">
        <v>45809</v>
      </c>
      <c r="S3" s="8" t="n">
        <v>4000</v>
      </c>
      <c r="T3" s="9"/>
      <c r="V3" s="12" t="s">
        <v>27</v>
      </c>
    </row>
    <row r="4" customFormat="false" ht="15.75" hidden="false" customHeight="true" outlineLevel="0" collapsed="false">
      <c r="A4" s="8" t="s">
        <v>21</v>
      </c>
      <c r="B4" s="9" t="s">
        <v>28</v>
      </c>
      <c r="C4" s="9" t="s">
        <v>23</v>
      </c>
      <c r="D4" s="9" t="s">
        <v>29</v>
      </c>
      <c r="E4" s="8" t="s">
        <v>25</v>
      </c>
      <c r="F4" s="8" t="n">
        <v>76</v>
      </c>
      <c r="G4" s="9"/>
      <c r="H4" s="10" t="n">
        <v>42005</v>
      </c>
      <c r="I4" s="8" t="n">
        <f aca="true">DATEDIF(H4,TODAY(),"Y")</f>
        <v>11</v>
      </c>
      <c r="J4" s="8" t="n">
        <v>2589</v>
      </c>
      <c r="K4" s="8" t="n">
        <v>373</v>
      </c>
      <c r="L4" s="8" t="n">
        <v>19.99</v>
      </c>
      <c r="M4" s="8" t="n">
        <v>49.08</v>
      </c>
      <c r="N4" s="9"/>
      <c r="O4" s="8" t="s">
        <v>26</v>
      </c>
      <c r="P4" s="9"/>
      <c r="Q4" s="9"/>
      <c r="R4" s="11" t="n">
        <v>45944</v>
      </c>
      <c r="S4" s="8" t="n">
        <v>4000</v>
      </c>
      <c r="T4" s="9"/>
      <c r="V4" s="13"/>
      <c r="W4" s="14" t="s">
        <v>30</v>
      </c>
    </row>
    <row r="5" customFormat="false" ht="15.75" hidden="false" customHeight="true" outlineLevel="0" collapsed="false">
      <c r="A5" s="8" t="s">
        <v>21</v>
      </c>
      <c r="B5" s="9" t="s">
        <v>31</v>
      </c>
      <c r="C5" s="9" t="s">
        <v>23</v>
      </c>
      <c r="D5" s="9" t="s">
        <v>32</v>
      </c>
      <c r="E5" s="8" t="s">
        <v>25</v>
      </c>
      <c r="F5" s="8" t="n">
        <v>92</v>
      </c>
      <c r="G5" s="9"/>
      <c r="H5" s="10" t="n">
        <v>42005</v>
      </c>
      <c r="I5" s="8" t="n">
        <f aca="true">DATEDIF(H5,TODAY(),"Y")</f>
        <v>11</v>
      </c>
      <c r="J5" s="8" t="n">
        <v>3233</v>
      </c>
      <c r="K5" s="8" t="n">
        <v>609</v>
      </c>
      <c r="L5" s="8" t="n">
        <v>25.34</v>
      </c>
      <c r="M5" s="8" t="n">
        <v>57.38</v>
      </c>
      <c r="N5" s="9"/>
      <c r="O5" s="8"/>
      <c r="P5" s="9"/>
      <c r="Q5" s="9"/>
      <c r="R5" s="11" t="n">
        <v>45984</v>
      </c>
      <c r="S5" s="8" t="n">
        <v>4000</v>
      </c>
      <c r="T5" s="9"/>
      <c r="V5" s="15"/>
      <c r="W5" s="14" t="s">
        <v>33</v>
      </c>
    </row>
    <row r="6" customFormat="false" ht="15.75" hidden="false" customHeight="true" outlineLevel="0" collapsed="false">
      <c r="A6" s="8" t="s">
        <v>21</v>
      </c>
      <c r="B6" s="9" t="s">
        <v>34</v>
      </c>
      <c r="C6" s="9" t="s">
        <v>23</v>
      </c>
      <c r="D6" s="9" t="s">
        <v>35</v>
      </c>
      <c r="E6" s="8" t="s">
        <v>25</v>
      </c>
      <c r="F6" s="8" t="n">
        <v>88</v>
      </c>
      <c r="G6" s="9"/>
      <c r="H6" s="10" t="n">
        <v>42005</v>
      </c>
      <c r="I6" s="8" t="n">
        <f aca="true">DATEDIF(H6,TODAY(),"Y")</f>
        <v>11</v>
      </c>
      <c r="J6" s="8" t="n">
        <v>3325</v>
      </c>
      <c r="K6" s="8" t="n">
        <v>309</v>
      </c>
      <c r="L6" s="8" t="n">
        <v>19.73</v>
      </c>
      <c r="M6" s="8" t="n">
        <v>55.54</v>
      </c>
      <c r="N6" s="9"/>
      <c r="O6" s="8"/>
      <c r="P6" s="9"/>
      <c r="Q6" s="9"/>
      <c r="R6" s="11" t="n">
        <v>45861</v>
      </c>
      <c r="S6" s="8" t="n">
        <v>4000</v>
      </c>
      <c r="T6" s="9"/>
      <c r="V6" s="16"/>
      <c r="W6" s="14" t="s">
        <v>36</v>
      </c>
    </row>
    <row r="7" customFormat="false" ht="15.75" hidden="false" customHeight="true" outlineLevel="0" collapsed="false">
      <c r="A7" s="8" t="s">
        <v>21</v>
      </c>
      <c r="B7" s="9" t="s">
        <v>37</v>
      </c>
      <c r="C7" s="9" t="s">
        <v>23</v>
      </c>
      <c r="D7" s="9" t="s">
        <v>38</v>
      </c>
      <c r="E7" s="8" t="s">
        <v>25</v>
      </c>
      <c r="F7" s="8" t="n">
        <v>86</v>
      </c>
      <c r="G7" s="9"/>
      <c r="H7" s="10" t="n">
        <v>42005</v>
      </c>
      <c r="I7" s="8" t="n">
        <f aca="true">DATEDIF(H7,TODAY(),"Y")</f>
        <v>11</v>
      </c>
      <c r="J7" s="8" t="n">
        <v>2889</v>
      </c>
      <c r="K7" s="8" t="n">
        <v>194</v>
      </c>
      <c r="L7" s="8" t="n">
        <v>27.45</v>
      </c>
      <c r="M7" s="8" t="n">
        <v>46.45</v>
      </c>
      <c r="N7" s="9"/>
      <c r="O7" s="8" t="s">
        <v>26</v>
      </c>
      <c r="P7" s="9"/>
      <c r="Q7" s="9"/>
      <c r="R7" s="11" t="n">
        <v>45820</v>
      </c>
      <c r="S7" s="8" t="n">
        <v>4000</v>
      </c>
      <c r="T7" s="9"/>
      <c r="V7" s="17"/>
      <c r="W7" s="14" t="s">
        <v>39</v>
      </c>
    </row>
    <row r="8" customFormat="false" ht="15.75" hidden="false" customHeight="true" outlineLevel="0" collapsed="false">
      <c r="A8" s="8" t="s">
        <v>21</v>
      </c>
      <c r="B8" s="9" t="s">
        <v>40</v>
      </c>
      <c r="C8" s="9" t="s">
        <v>41</v>
      </c>
      <c r="D8" s="9" t="s">
        <v>42</v>
      </c>
      <c r="E8" s="8" t="s">
        <v>25</v>
      </c>
      <c r="F8" s="8" t="n">
        <v>84</v>
      </c>
      <c r="G8" s="9"/>
      <c r="H8" s="10" t="n">
        <v>42064</v>
      </c>
      <c r="I8" s="8" t="n">
        <f aca="true">DATEDIF(H8,TODAY(),"Y")</f>
        <v>11</v>
      </c>
      <c r="J8" s="8" t="n">
        <v>4387</v>
      </c>
      <c r="K8" s="8" t="n">
        <v>520</v>
      </c>
      <c r="L8" s="8" t="n">
        <v>25.16</v>
      </c>
      <c r="M8" s="8" t="n">
        <v>53.18</v>
      </c>
      <c r="N8" s="9"/>
      <c r="O8" s="8"/>
      <c r="P8" s="9"/>
      <c r="Q8" s="9"/>
      <c r="R8" s="11" t="n">
        <v>45826</v>
      </c>
      <c r="S8" s="8" t="n">
        <v>4000</v>
      </c>
      <c r="T8" s="9"/>
      <c r="V8" s="18"/>
      <c r="W8" s="14" t="s">
        <v>43</v>
      </c>
    </row>
    <row r="9" customFormat="false" ht="15.75" hidden="false" customHeight="true" outlineLevel="0" collapsed="false">
      <c r="A9" s="8" t="s">
        <v>21</v>
      </c>
      <c r="B9" s="9" t="s">
        <v>44</v>
      </c>
      <c r="C9" s="9" t="s">
        <v>41</v>
      </c>
      <c r="D9" s="9" t="s">
        <v>45</v>
      </c>
      <c r="E9" s="8" t="s">
        <v>25</v>
      </c>
      <c r="F9" s="8" t="n">
        <v>77</v>
      </c>
      <c r="G9" s="9"/>
      <c r="H9" s="10" t="n">
        <v>42064</v>
      </c>
      <c r="I9" s="8" t="n">
        <f aca="true">DATEDIF(H9,TODAY(),"Y")</f>
        <v>11</v>
      </c>
      <c r="J9" s="8" t="n">
        <v>4233</v>
      </c>
      <c r="K9" s="8" t="n">
        <v>539</v>
      </c>
      <c r="L9" s="8" t="n">
        <v>20.67</v>
      </c>
      <c r="M9" s="8" t="n">
        <v>50.43</v>
      </c>
      <c r="N9" s="9"/>
      <c r="O9" s="8"/>
      <c r="P9" s="9"/>
      <c r="Q9" s="9"/>
      <c r="R9" s="11" t="n">
        <v>46001</v>
      </c>
      <c r="S9" s="8" t="n">
        <v>4000</v>
      </c>
      <c r="T9" s="9"/>
      <c r="V9" s="19"/>
      <c r="W9" s="14" t="s">
        <v>46</v>
      </c>
    </row>
    <row r="10" customFormat="false" ht="15.75" hidden="false" customHeight="true" outlineLevel="0" collapsed="false">
      <c r="A10" s="8" t="s">
        <v>21</v>
      </c>
      <c r="B10" s="9" t="s">
        <v>47</v>
      </c>
      <c r="C10" s="9" t="s">
        <v>41</v>
      </c>
      <c r="D10" s="9" t="s">
        <v>48</v>
      </c>
      <c r="E10" s="8" t="s">
        <v>25</v>
      </c>
      <c r="F10" s="8" t="n">
        <v>83</v>
      </c>
      <c r="G10" s="9"/>
      <c r="H10" s="10" t="n">
        <v>42064</v>
      </c>
      <c r="I10" s="8" t="n">
        <f aca="true">DATEDIF(H10,TODAY(),"Y")</f>
        <v>11</v>
      </c>
      <c r="J10" s="8" t="n">
        <v>4379</v>
      </c>
      <c r="K10" s="8" t="n">
        <v>223</v>
      </c>
      <c r="L10" s="8" t="n">
        <v>25.64</v>
      </c>
      <c r="M10" s="8" t="n">
        <v>31.85</v>
      </c>
      <c r="N10" s="9"/>
      <c r="O10" s="8" t="s">
        <v>26</v>
      </c>
      <c r="P10" s="9"/>
      <c r="Q10" s="9"/>
      <c r="R10" s="11" t="n">
        <v>45876</v>
      </c>
      <c r="S10" s="8" t="n">
        <v>4000</v>
      </c>
      <c r="T10" s="9"/>
    </row>
    <row r="11" customFormat="false" ht="15.75" hidden="false" customHeight="true" outlineLevel="0" collapsed="false">
      <c r="A11" s="8" t="s">
        <v>21</v>
      </c>
      <c r="B11" s="9" t="s">
        <v>49</v>
      </c>
      <c r="C11" s="9" t="s">
        <v>41</v>
      </c>
      <c r="D11" s="9" t="s">
        <v>50</v>
      </c>
      <c r="E11" s="8" t="s">
        <v>25</v>
      </c>
      <c r="F11" s="8" t="n">
        <v>83</v>
      </c>
      <c r="G11" s="9"/>
      <c r="H11" s="10" t="n">
        <v>42064</v>
      </c>
      <c r="I11" s="8" t="n">
        <f aca="true">DATEDIF(H11,TODAY(),"Y")</f>
        <v>11</v>
      </c>
      <c r="J11" s="8" t="n">
        <v>4167</v>
      </c>
      <c r="K11" s="8" t="n">
        <v>720</v>
      </c>
      <c r="L11" s="8" t="n">
        <v>19.79</v>
      </c>
      <c r="M11" s="8" t="n">
        <v>37.97</v>
      </c>
      <c r="N11" s="9"/>
      <c r="O11" s="8" t="s">
        <v>26</v>
      </c>
      <c r="P11" s="9"/>
      <c r="Q11" s="9"/>
      <c r="R11" s="11" t="n">
        <v>45913</v>
      </c>
      <c r="S11" s="8" t="n">
        <v>4000</v>
      </c>
      <c r="T11" s="9"/>
    </row>
    <row r="12" customFormat="false" ht="15.75" hidden="false" customHeight="true" outlineLevel="0" collapsed="false">
      <c r="A12" s="8" t="s">
        <v>21</v>
      </c>
      <c r="B12" s="9" t="s">
        <v>51</v>
      </c>
      <c r="C12" s="9" t="s">
        <v>41</v>
      </c>
      <c r="D12" s="9" t="s">
        <v>52</v>
      </c>
      <c r="E12" s="8" t="s">
        <v>25</v>
      </c>
      <c r="F12" s="8" t="n">
        <v>76</v>
      </c>
      <c r="G12" s="9"/>
      <c r="H12" s="10" t="n">
        <v>42064</v>
      </c>
      <c r="I12" s="8" t="n">
        <f aca="true">DATEDIF(H12,TODAY(),"Y")</f>
        <v>11</v>
      </c>
      <c r="J12" s="8" t="n">
        <v>4057</v>
      </c>
      <c r="K12" s="8" t="n">
        <v>560</v>
      </c>
      <c r="L12" s="8" t="n">
        <v>20.52</v>
      </c>
      <c r="M12" s="8" t="n">
        <v>33.44</v>
      </c>
      <c r="N12" s="9"/>
      <c r="O12" s="8" t="s">
        <v>26</v>
      </c>
      <c r="P12" s="9"/>
      <c r="Q12" s="9"/>
      <c r="R12" s="11" t="n">
        <v>45865</v>
      </c>
      <c r="S12" s="8" t="n">
        <v>4000</v>
      </c>
      <c r="T12" s="9"/>
    </row>
    <row r="13" customFormat="false" ht="15.75" hidden="false" customHeight="true" outlineLevel="0" collapsed="false">
      <c r="A13" s="8" t="s">
        <v>21</v>
      </c>
      <c r="B13" s="9" t="s">
        <v>53</v>
      </c>
      <c r="C13" s="9" t="s">
        <v>41</v>
      </c>
      <c r="D13" s="9" t="s">
        <v>54</v>
      </c>
      <c r="E13" s="8" t="s">
        <v>25</v>
      </c>
      <c r="F13" s="8" t="n">
        <v>81</v>
      </c>
      <c r="G13" s="9"/>
      <c r="H13" s="10" t="n">
        <v>42064</v>
      </c>
      <c r="I13" s="8" t="n">
        <f aca="true">DATEDIF(H13,TODAY(),"Y")</f>
        <v>11</v>
      </c>
      <c r="J13" s="8" t="n">
        <v>4897</v>
      </c>
      <c r="K13" s="8" t="n">
        <v>555</v>
      </c>
      <c r="L13" s="8" t="n">
        <v>29.77</v>
      </c>
      <c r="M13" s="8" t="n">
        <v>50.71</v>
      </c>
      <c r="N13" s="9"/>
      <c r="O13" s="8"/>
      <c r="P13" s="9"/>
      <c r="Q13" s="9"/>
      <c r="R13" s="11" t="n">
        <v>45972</v>
      </c>
      <c r="S13" s="8" t="n">
        <v>4000</v>
      </c>
      <c r="T13" s="9"/>
    </row>
    <row r="14" customFormat="false" ht="15.75" hidden="false" customHeight="true" outlineLevel="0" collapsed="false">
      <c r="A14" s="8" t="s">
        <v>21</v>
      </c>
      <c r="B14" s="9" t="s">
        <v>55</v>
      </c>
      <c r="C14" s="9" t="s">
        <v>41</v>
      </c>
      <c r="D14" s="9" t="s">
        <v>56</v>
      </c>
      <c r="E14" s="8" t="s">
        <v>25</v>
      </c>
      <c r="F14" s="8" t="n">
        <v>92</v>
      </c>
      <c r="G14" s="9"/>
      <c r="H14" s="10" t="n">
        <v>42064</v>
      </c>
      <c r="I14" s="8" t="n">
        <f aca="true">DATEDIF(H14,TODAY(),"Y")</f>
        <v>11</v>
      </c>
      <c r="J14" s="8" t="n">
        <v>4142</v>
      </c>
      <c r="K14" s="8" t="n">
        <v>588</v>
      </c>
      <c r="L14" s="8" t="n">
        <v>29.97</v>
      </c>
      <c r="M14" s="8" t="n">
        <v>40.98</v>
      </c>
      <c r="N14" s="9"/>
      <c r="O14" s="8"/>
      <c r="P14" s="9"/>
      <c r="Q14" s="9"/>
      <c r="R14" s="11" t="n">
        <v>45862</v>
      </c>
      <c r="S14" s="8" t="n">
        <v>4000</v>
      </c>
      <c r="T14" s="9"/>
    </row>
    <row r="15" customFormat="false" ht="15.75" hidden="false" customHeight="true" outlineLevel="0" collapsed="false">
      <c r="A15" s="8" t="s">
        <v>21</v>
      </c>
      <c r="B15" s="9" t="s">
        <v>57</v>
      </c>
      <c r="C15" s="9" t="s">
        <v>41</v>
      </c>
      <c r="D15" s="9" t="s">
        <v>58</v>
      </c>
      <c r="E15" s="8" t="s">
        <v>25</v>
      </c>
      <c r="F15" s="8" t="n">
        <v>77</v>
      </c>
      <c r="G15" s="9"/>
      <c r="H15" s="10" t="n">
        <v>42064</v>
      </c>
      <c r="I15" s="8" t="n">
        <f aca="true">DATEDIF(H15,TODAY(),"Y")</f>
        <v>11</v>
      </c>
      <c r="J15" s="8" t="n">
        <v>4141</v>
      </c>
      <c r="K15" s="8" t="n">
        <v>262</v>
      </c>
      <c r="L15" s="8" t="n">
        <v>18.79</v>
      </c>
      <c r="M15" s="8" t="n">
        <v>31.4</v>
      </c>
      <c r="N15" s="9"/>
      <c r="O15" s="8" t="s">
        <v>26</v>
      </c>
      <c r="P15" s="9"/>
      <c r="Q15" s="9"/>
      <c r="R15" s="11" t="n">
        <v>45946</v>
      </c>
      <c r="S15" s="8" t="n">
        <v>4000</v>
      </c>
      <c r="T15" s="9"/>
    </row>
    <row r="16" customFormat="false" ht="15.75" hidden="false" customHeight="true" outlineLevel="0" collapsed="false">
      <c r="A16" s="8" t="s">
        <v>21</v>
      </c>
      <c r="B16" s="9" t="s">
        <v>59</v>
      </c>
      <c r="C16" s="9" t="s">
        <v>41</v>
      </c>
      <c r="D16" s="9" t="s">
        <v>60</v>
      </c>
      <c r="E16" s="8" t="s">
        <v>25</v>
      </c>
      <c r="F16" s="8" t="n">
        <v>87</v>
      </c>
      <c r="G16" s="9"/>
      <c r="H16" s="10" t="n">
        <v>42064</v>
      </c>
      <c r="I16" s="8" t="n">
        <f aca="true">DATEDIF(H16,TODAY(),"Y")</f>
        <v>11</v>
      </c>
      <c r="J16" s="8" t="n">
        <v>4610</v>
      </c>
      <c r="K16" s="8" t="n">
        <v>691</v>
      </c>
      <c r="L16" s="8" t="n">
        <v>20.27</v>
      </c>
      <c r="M16" s="8" t="n">
        <v>47.13</v>
      </c>
      <c r="N16" s="9"/>
      <c r="O16" s="8" t="s">
        <v>26</v>
      </c>
      <c r="P16" s="9"/>
      <c r="Q16" s="9"/>
      <c r="R16" s="11" t="n">
        <v>45821</v>
      </c>
      <c r="S16" s="8" t="n">
        <v>4000</v>
      </c>
      <c r="T16" s="9"/>
    </row>
    <row r="17" customFormat="false" ht="15.75" hidden="false" customHeight="true" outlineLevel="0" collapsed="false">
      <c r="A17" s="8" t="s">
        <v>21</v>
      </c>
      <c r="B17" s="9" t="s">
        <v>61</v>
      </c>
      <c r="C17" s="9" t="s">
        <v>41</v>
      </c>
      <c r="D17" s="9" t="s">
        <v>62</v>
      </c>
      <c r="E17" s="8" t="s">
        <v>25</v>
      </c>
      <c r="F17" s="8" t="n">
        <v>92</v>
      </c>
      <c r="G17" s="9"/>
      <c r="H17" s="10" t="n">
        <v>42064</v>
      </c>
      <c r="I17" s="8" t="n">
        <f aca="true">DATEDIF(H17,TODAY(),"Y")</f>
        <v>11</v>
      </c>
      <c r="J17" s="8" t="n">
        <v>4696</v>
      </c>
      <c r="K17" s="8" t="n">
        <v>498</v>
      </c>
      <c r="L17" s="8" t="n">
        <v>18.17</v>
      </c>
      <c r="M17" s="8" t="n">
        <v>42.39</v>
      </c>
      <c r="N17" s="9"/>
      <c r="O17" s="8"/>
      <c r="P17" s="9"/>
      <c r="Q17" s="9"/>
      <c r="R17" s="11" t="n">
        <v>45965</v>
      </c>
      <c r="S17" s="8" t="n">
        <v>4000</v>
      </c>
      <c r="T17" s="9"/>
    </row>
    <row r="18" customFormat="false" ht="15.75" hidden="false" customHeight="true" outlineLevel="0" collapsed="false">
      <c r="A18" s="8" t="s">
        <v>21</v>
      </c>
      <c r="B18" s="9" t="s">
        <v>63</v>
      </c>
      <c r="C18" s="9" t="s">
        <v>41</v>
      </c>
      <c r="D18" s="9" t="s">
        <v>64</v>
      </c>
      <c r="E18" s="8" t="s">
        <v>25</v>
      </c>
      <c r="F18" s="8" t="n">
        <v>83</v>
      </c>
      <c r="G18" s="9"/>
      <c r="H18" s="10" t="n">
        <v>42064</v>
      </c>
      <c r="I18" s="8" t="n">
        <f aca="true">DATEDIF(H18,TODAY(),"Y")</f>
        <v>11</v>
      </c>
      <c r="J18" s="8" t="n">
        <v>4976</v>
      </c>
      <c r="K18" s="8" t="n">
        <v>332</v>
      </c>
      <c r="L18" s="8" t="n">
        <v>24.12</v>
      </c>
      <c r="M18" s="8" t="n">
        <v>29.26</v>
      </c>
      <c r="N18" s="9"/>
      <c r="O18" s="8" t="s">
        <v>26</v>
      </c>
      <c r="P18" s="9"/>
      <c r="Q18" s="9"/>
      <c r="R18" s="11" t="n">
        <v>45985</v>
      </c>
      <c r="S18" s="8" t="n">
        <v>4000</v>
      </c>
      <c r="T18" s="9"/>
    </row>
    <row r="19" customFormat="false" ht="15.75" hidden="false" customHeight="true" outlineLevel="0" collapsed="false">
      <c r="A19" s="8" t="s">
        <v>21</v>
      </c>
      <c r="B19" s="9" t="s">
        <v>65</v>
      </c>
      <c r="C19" s="9" t="s">
        <v>41</v>
      </c>
      <c r="D19" s="9" t="s">
        <v>66</v>
      </c>
      <c r="E19" s="8" t="s">
        <v>25</v>
      </c>
      <c r="F19" s="8" t="n">
        <v>94</v>
      </c>
      <c r="G19" s="9"/>
      <c r="H19" s="10" t="n">
        <v>42064</v>
      </c>
      <c r="I19" s="8" t="n">
        <f aca="true">DATEDIF(H19,TODAY(),"Y")</f>
        <v>11</v>
      </c>
      <c r="J19" s="8" t="n">
        <v>4861</v>
      </c>
      <c r="K19" s="8" t="n">
        <v>532</v>
      </c>
      <c r="L19" s="8" t="n">
        <v>27.94</v>
      </c>
      <c r="M19" s="8" t="n">
        <v>46.58</v>
      </c>
      <c r="N19" s="9"/>
      <c r="O19" s="8" t="s">
        <v>26</v>
      </c>
      <c r="P19" s="9"/>
      <c r="Q19" s="9"/>
      <c r="R19" s="11" t="n">
        <v>45978</v>
      </c>
      <c r="S19" s="8" t="n">
        <v>4000</v>
      </c>
      <c r="T19" s="9"/>
    </row>
    <row r="20" customFormat="false" ht="15.75" hidden="false" customHeight="true" outlineLevel="0" collapsed="false">
      <c r="A20" s="8" t="s">
        <v>21</v>
      </c>
      <c r="B20" s="9" t="s">
        <v>67</v>
      </c>
      <c r="C20" s="9" t="s">
        <v>41</v>
      </c>
      <c r="D20" s="9" t="s">
        <v>68</v>
      </c>
      <c r="E20" s="8" t="s">
        <v>25</v>
      </c>
      <c r="F20" s="8" t="n">
        <v>85</v>
      </c>
      <c r="G20" s="9"/>
      <c r="H20" s="10" t="n">
        <v>42064</v>
      </c>
      <c r="I20" s="8" t="n">
        <f aca="true">DATEDIF(H20,TODAY(),"Y")</f>
        <v>11</v>
      </c>
      <c r="J20" s="8" t="n">
        <v>4543</v>
      </c>
      <c r="K20" s="8" t="n">
        <v>264</v>
      </c>
      <c r="L20" s="8" t="n">
        <v>30.44</v>
      </c>
      <c r="M20" s="8" t="n">
        <v>60.15</v>
      </c>
      <c r="N20" s="9"/>
      <c r="O20" s="8" t="s">
        <v>26</v>
      </c>
      <c r="P20" s="9"/>
      <c r="Q20" s="9"/>
      <c r="R20" s="11" t="n">
        <v>45828</v>
      </c>
      <c r="S20" s="8" t="n">
        <v>4000</v>
      </c>
      <c r="T20" s="9"/>
    </row>
    <row r="21" customFormat="false" ht="15.75" hidden="false" customHeight="true" outlineLevel="0" collapsed="false">
      <c r="A21" s="8" t="s">
        <v>21</v>
      </c>
      <c r="B21" s="9" t="s">
        <v>69</v>
      </c>
      <c r="C21" s="9" t="s">
        <v>41</v>
      </c>
      <c r="D21" s="9" t="s">
        <v>70</v>
      </c>
      <c r="E21" s="8" t="s">
        <v>25</v>
      </c>
      <c r="F21" s="8" t="n">
        <v>82</v>
      </c>
      <c r="G21" s="9"/>
      <c r="H21" s="10" t="n">
        <v>42064</v>
      </c>
      <c r="I21" s="8" t="n">
        <f aca="true">DATEDIF(H21,TODAY(),"Y")</f>
        <v>11</v>
      </c>
      <c r="J21" s="8" t="n">
        <v>4314</v>
      </c>
      <c r="K21" s="8" t="n">
        <v>237</v>
      </c>
      <c r="L21" s="8" t="n">
        <v>27.48</v>
      </c>
      <c r="M21" s="8" t="n">
        <v>57.64</v>
      </c>
      <c r="N21" s="9"/>
      <c r="O21" s="8" t="s">
        <v>26</v>
      </c>
      <c r="P21" s="9"/>
      <c r="Q21" s="9"/>
      <c r="R21" s="11" t="n">
        <v>45840</v>
      </c>
      <c r="S21" s="8" t="n">
        <v>4000</v>
      </c>
      <c r="T21" s="9"/>
    </row>
    <row r="22" customFormat="false" ht="15.75" hidden="false" customHeight="true" outlineLevel="0" collapsed="false">
      <c r="A22" s="8" t="s">
        <v>21</v>
      </c>
      <c r="B22" s="9" t="s">
        <v>71</v>
      </c>
      <c r="C22" s="9" t="s">
        <v>41</v>
      </c>
      <c r="D22" s="9" t="s">
        <v>72</v>
      </c>
      <c r="E22" s="8" t="s">
        <v>25</v>
      </c>
      <c r="F22" s="8" t="n">
        <v>79</v>
      </c>
      <c r="G22" s="9"/>
      <c r="H22" s="10" t="n">
        <v>42064</v>
      </c>
      <c r="I22" s="8" t="n">
        <f aca="true">DATEDIF(H22,TODAY(),"Y")</f>
        <v>11</v>
      </c>
      <c r="J22" s="8" t="n">
        <v>4545</v>
      </c>
      <c r="K22" s="8" t="n">
        <v>712</v>
      </c>
      <c r="L22" s="8" t="n">
        <v>18.98</v>
      </c>
      <c r="M22" s="8" t="n">
        <v>46.11</v>
      </c>
      <c r="N22" s="9"/>
      <c r="O22" s="8" t="s">
        <v>26</v>
      </c>
      <c r="P22" s="9"/>
      <c r="Q22" s="9"/>
      <c r="R22" s="11" t="n">
        <v>45996</v>
      </c>
      <c r="S22" s="8" t="n">
        <v>4000</v>
      </c>
      <c r="T22" s="9"/>
    </row>
    <row r="23" customFormat="false" ht="15.75" hidden="false" customHeight="true" outlineLevel="0" collapsed="false">
      <c r="A23" s="8" t="s">
        <v>21</v>
      </c>
      <c r="B23" s="9" t="s">
        <v>73</v>
      </c>
      <c r="C23" s="9" t="s">
        <v>41</v>
      </c>
      <c r="D23" s="9" t="s">
        <v>74</v>
      </c>
      <c r="E23" s="8" t="s">
        <v>25</v>
      </c>
      <c r="F23" s="8" t="n">
        <v>81</v>
      </c>
      <c r="G23" s="9"/>
      <c r="H23" s="10" t="n">
        <v>42064</v>
      </c>
      <c r="I23" s="8" t="n">
        <f aca="true">DATEDIF(H23,TODAY(),"Y")</f>
        <v>11</v>
      </c>
      <c r="J23" s="8" t="n">
        <v>4987</v>
      </c>
      <c r="K23" s="8" t="n">
        <v>558</v>
      </c>
      <c r="L23" s="8" t="n">
        <v>31.43</v>
      </c>
      <c r="M23" s="8" t="n">
        <v>51</v>
      </c>
      <c r="N23" s="9"/>
      <c r="O23" s="8"/>
      <c r="P23" s="9"/>
      <c r="Q23" s="9"/>
      <c r="R23" s="11" t="n">
        <v>45856</v>
      </c>
      <c r="S23" s="8" t="n">
        <v>4000</v>
      </c>
      <c r="T23" s="9"/>
    </row>
    <row r="24" customFormat="false" ht="15.75" hidden="false" customHeight="true" outlineLevel="0" collapsed="false">
      <c r="A24" s="8" t="s">
        <v>21</v>
      </c>
      <c r="B24" s="9" t="s">
        <v>75</v>
      </c>
      <c r="C24" s="9" t="s">
        <v>41</v>
      </c>
      <c r="D24" s="9" t="s">
        <v>76</v>
      </c>
      <c r="E24" s="8" t="s">
        <v>25</v>
      </c>
      <c r="F24" s="8" t="n">
        <v>82</v>
      </c>
      <c r="G24" s="9"/>
      <c r="H24" s="10" t="n">
        <v>42064</v>
      </c>
      <c r="I24" s="8" t="n">
        <f aca="true">DATEDIF(H24,TODAY(),"Y")</f>
        <v>11</v>
      </c>
      <c r="J24" s="8" t="n">
        <v>4529</v>
      </c>
      <c r="K24" s="8" t="n">
        <v>496</v>
      </c>
      <c r="L24" s="8" t="n">
        <v>16.82</v>
      </c>
      <c r="M24" s="8" t="n">
        <v>47.16</v>
      </c>
      <c r="N24" s="9"/>
      <c r="O24" s="8" t="s">
        <v>26</v>
      </c>
      <c r="P24" s="9"/>
      <c r="Q24" s="9"/>
      <c r="R24" s="11" t="n">
        <v>45904</v>
      </c>
      <c r="S24" s="8" t="n">
        <v>4000</v>
      </c>
      <c r="T24" s="9"/>
    </row>
    <row r="25" customFormat="false" ht="15.75" hidden="false" customHeight="true" outlineLevel="0" collapsed="false">
      <c r="A25" s="8" t="s">
        <v>21</v>
      </c>
      <c r="B25" s="9" t="s">
        <v>77</v>
      </c>
      <c r="C25" s="9" t="s">
        <v>41</v>
      </c>
      <c r="D25" s="9" t="s">
        <v>78</v>
      </c>
      <c r="E25" s="8" t="s">
        <v>25</v>
      </c>
      <c r="F25" s="8" t="n">
        <v>95</v>
      </c>
      <c r="G25" s="9"/>
      <c r="H25" s="10" t="n">
        <v>42064</v>
      </c>
      <c r="I25" s="8" t="n">
        <f aca="true">DATEDIF(H25,TODAY(),"Y")</f>
        <v>11</v>
      </c>
      <c r="J25" s="8" t="n">
        <v>4007</v>
      </c>
      <c r="K25" s="8" t="n">
        <v>219</v>
      </c>
      <c r="L25" s="8" t="n">
        <v>30.08</v>
      </c>
      <c r="M25" s="8" t="n">
        <v>59.39</v>
      </c>
      <c r="N25" s="9"/>
      <c r="O25" s="8"/>
      <c r="P25" s="9"/>
      <c r="Q25" s="9"/>
      <c r="R25" s="11" t="n">
        <v>45831</v>
      </c>
      <c r="S25" s="8" t="n">
        <v>4000</v>
      </c>
      <c r="T25" s="9"/>
    </row>
    <row r="26" customFormat="false" ht="15.75" hidden="false" customHeight="true" outlineLevel="0" collapsed="false">
      <c r="A26" s="8" t="s">
        <v>21</v>
      </c>
      <c r="B26" s="9" t="s">
        <v>79</v>
      </c>
      <c r="C26" s="9" t="s">
        <v>41</v>
      </c>
      <c r="D26" s="9" t="s">
        <v>80</v>
      </c>
      <c r="E26" s="8" t="s">
        <v>25</v>
      </c>
      <c r="F26" s="8" t="n">
        <v>90</v>
      </c>
      <c r="G26" s="9"/>
      <c r="H26" s="10" t="n">
        <v>42064</v>
      </c>
      <c r="I26" s="8" t="n">
        <f aca="true">DATEDIF(H26,TODAY(),"Y")</f>
        <v>11</v>
      </c>
      <c r="J26" s="8" t="n">
        <v>4243</v>
      </c>
      <c r="K26" s="8" t="n">
        <v>285</v>
      </c>
      <c r="L26" s="8" t="n">
        <v>27.35</v>
      </c>
      <c r="M26" s="8" t="n">
        <v>60.3</v>
      </c>
      <c r="N26" s="9"/>
      <c r="O26" s="8" t="s">
        <v>26</v>
      </c>
      <c r="P26" s="9"/>
      <c r="Q26" s="9"/>
      <c r="R26" s="11" t="n">
        <v>45891</v>
      </c>
      <c r="S26" s="8" t="n">
        <v>4000</v>
      </c>
      <c r="T26" s="9"/>
    </row>
    <row r="27" customFormat="false" ht="15.75" hidden="false" customHeight="true" outlineLevel="0" collapsed="false">
      <c r="A27" s="8" t="s">
        <v>21</v>
      </c>
      <c r="B27" s="9" t="s">
        <v>81</v>
      </c>
      <c r="C27" s="9" t="s">
        <v>41</v>
      </c>
      <c r="D27" s="9" t="s">
        <v>82</v>
      </c>
      <c r="E27" s="8" t="s">
        <v>25</v>
      </c>
      <c r="F27" s="8" t="n">
        <v>88</v>
      </c>
      <c r="G27" s="9"/>
      <c r="H27" s="10" t="n">
        <v>42064</v>
      </c>
      <c r="I27" s="8" t="n">
        <f aca="true">DATEDIF(H27,TODAY(),"Y")</f>
        <v>11</v>
      </c>
      <c r="J27" s="8" t="n">
        <v>4248</v>
      </c>
      <c r="K27" s="8" t="n">
        <v>249</v>
      </c>
      <c r="L27" s="8" t="n">
        <v>26.38</v>
      </c>
      <c r="M27" s="8" t="n">
        <v>39.17</v>
      </c>
      <c r="N27" s="9"/>
      <c r="O27" s="8"/>
      <c r="P27" s="9"/>
      <c r="Q27" s="9"/>
      <c r="R27" s="11" t="n">
        <v>46007</v>
      </c>
      <c r="S27" s="8" t="n">
        <v>4000</v>
      </c>
      <c r="T27" s="9"/>
    </row>
    <row r="28" customFormat="false" ht="15.75" hidden="false" customHeight="true" outlineLevel="0" collapsed="false">
      <c r="A28" s="8" t="s">
        <v>21</v>
      </c>
      <c r="B28" s="9" t="s">
        <v>83</v>
      </c>
      <c r="C28" s="9" t="s">
        <v>41</v>
      </c>
      <c r="D28" s="9" t="s">
        <v>84</v>
      </c>
      <c r="E28" s="8" t="s">
        <v>25</v>
      </c>
      <c r="F28" s="8" t="n">
        <v>95</v>
      </c>
      <c r="G28" s="9"/>
      <c r="H28" s="10" t="n">
        <v>42064</v>
      </c>
      <c r="I28" s="8" t="n">
        <f aca="true">DATEDIF(H28,TODAY(),"Y")</f>
        <v>11</v>
      </c>
      <c r="J28" s="8" t="n">
        <v>4884</v>
      </c>
      <c r="K28" s="8" t="n">
        <v>212</v>
      </c>
      <c r="L28" s="8" t="n">
        <v>22.54</v>
      </c>
      <c r="M28" s="8" t="n">
        <v>38.57</v>
      </c>
      <c r="N28" s="9"/>
      <c r="O28" s="8" t="s">
        <v>26</v>
      </c>
      <c r="P28" s="9"/>
      <c r="Q28" s="9"/>
      <c r="R28" s="11" t="n">
        <v>45963</v>
      </c>
      <c r="S28" s="8" t="n">
        <v>4000</v>
      </c>
      <c r="T28" s="9"/>
    </row>
    <row r="29" customFormat="false" ht="15.75" hidden="false" customHeight="true" outlineLevel="0" collapsed="false">
      <c r="A29" s="8" t="s">
        <v>21</v>
      </c>
      <c r="B29" s="9" t="s">
        <v>85</v>
      </c>
      <c r="C29" s="9" t="s">
        <v>41</v>
      </c>
      <c r="D29" s="9" t="s">
        <v>86</v>
      </c>
      <c r="E29" s="8" t="s">
        <v>25</v>
      </c>
      <c r="F29" s="8" t="n">
        <v>92</v>
      </c>
      <c r="G29" s="9"/>
      <c r="H29" s="10" t="n">
        <v>42064</v>
      </c>
      <c r="I29" s="8" t="n">
        <f aca="true">DATEDIF(H29,TODAY(),"Y")</f>
        <v>11</v>
      </c>
      <c r="J29" s="8" t="n">
        <v>4254</v>
      </c>
      <c r="K29" s="8" t="n">
        <v>582</v>
      </c>
      <c r="L29" s="8" t="n">
        <v>19.25</v>
      </c>
      <c r="M29" s="8" t="n">
        <v>43.51</v>
      </c>
      <c r="N29" s="9"/>
      <c r="O29" s="8" t="s">
        <v>26</v>
      </c>
      <c r="P29" s="9"/>
      <c r="Q29" s="9"/>
      <c r="R29" s="11" t="n">
        <v>45845</v>
      </c>
      <c r="S29" s="8" t="n">
        <v>4000</v>
      </c>
      <c r="T29" s="9"/>
    </row>
    <row r="30" customFormat="false" ht="15.75" hidden="false" customHeight="true" outlineLevel="0" collapsed="false">
      <c r="A30" s="8" t="s">
        <v>21</v>
      </c>
      <c r="B30" s="9" t="s">
        <v>87</v>
      </c>
      <c r="C30" s="9" t="s">
        <v>41</v>
      </c>
      <c r="D30" s="9" t="s">
        <v>88</v>
      </c>
      <c r="E30" s="8" t="s">
        <v>25</v>
      </c>
      <c r="F30" s="8" t="n">
        <v>92</v>
      </c>
      <c r="G30" s="9"/>
      <c r="H30" s="10" t="n">
        <v>42064</v>
      </c>
      <c r="I30" s="8" t="n">
        <f aca="true">DATEDIF(H30,TODAY(),"Y")</f>
        <v>11</v>
      </c>
      <c r="J30" s="8" t="n">
        <v>4077</v>
      </c>
      <c r="K30" s="8" t="n">
        <v>703</v>
      </c>
      <c r="L30" s="8" t="n">
        <v>29.04</v>
      </c>
      <c r="M30" s="8" t="n">
        <v>63.76</v>
      </c>
      <c r="N30" s="9"/>
      <c r="O30" s="8" t="s">
        <v>26</v>
      </c>
      <c r="P30" s="9"/>
      <c r="Q30" s="9"/>
      <c r="R30" s="11" t="n">
        <v>45926</v>
      </c>
      <c r="S30" s="8" t="n">
        <v>4000</v>
      </c>
      <c r="T30" s="9"/>
    </row>
    <row r="31" customFormat="false" ht="15.75" hidden="false" customHeight="true" outlineLevel="0" collapsed="false">
      <c r="A31" s="8" t="s">
        <v>21</v>
      </c>
      <c r="B31" s="9" t="s">
        <v>89</v>
      </c>
      <c r="C31" s="9" t="s">
        <v>41</v>
      </c>
      <c r="D31" s="9" t="s">
        <v>90</v>
      </c>
      <c r="E31" s="8" t="s">
        <v>25</v>
      </c>
      <c r="F31" s="8" t="n">
        <v>88</v>
      </c>
      <c r="G31" s="9"/>
      <c r="H31" s="10" t="n">
        <v>42064</v>
      </c>
      <c r="I31" s="8" t="n">
        <f aca="true">DATEDIF(H31,TODAY(),"Y")</f>
        <v>11</v>
      </c>
      <c r="J31" s="8" t="n">
        <v>4869</v>
      </c>
      <c r="K31" s="8" t="n">
        <v>368</v>
      </c>
      <c r="L31" s="8" t="n">
        <v>29.47</v>
      </c>
      <c r="M31" s="8" t="n">
        <v>61.1</v>
      </c>
      <c r="N31" s="9"/>
      <c r="O31" s="8"/>
      <c r="P31" s="9"/>
      <c r="Q31" s="9"/>
      <c r="R31" s="11" t="n">
        <v>45844</v>
      </c>
      <c r="S31" s="8" t="n">
        <v>4000</v>
      </c>
      <c r="T31" s="9"/>
    </row>
    <row r="32" customFormat="false" ht="15.75" hidden="false" customHeight="true" outlineLevel="0" collapsed="false">
      <c r="A32" s="8" t="s">
        <v>21</v>
      </c>
      <c r="B32" s="9" t="s">
        <v>91</v>
      </c>
      <c r="C32" s="9" t="s">
        <v>41</v>
      </c>
      <c r="D32" s="9" t="s">
        <v>92</v>
      </c>
      <c r="E32" s="8" t="s">
        <v>25</v>
      </c>
      <c r="F32" s="8" t="n">
        <v>89</v>
      </c>
      <c r="G32" s="9"/>
      <c r="H32" s="10" t="n">
        <v>42064</v>
      </c>
      <c r="I32" s="8" t="n">
        <f aca="true">DATEDIF(H32,TODAY(),"Y")</f>
        <v>11</v>
      </c>
      <c r="J32" s="8" t="n">
        <v>4002</v>
      </c>
      <c r="K32" s="8" t="n">
        <v>719</v>
      </c>
      <c r="L32" s="8" t="n">
        <v>26.43</v>
      </c>
      <c r="M32" s="8" t="n">
        <v>44.47</v>
      </c>
      <c r="N32" s="9"/>
      <c r="O32" s="8"/>
      <c r="P32" s="9"/>
      <c r="Q32" s="9"/>
      <c r="R32" s="11" t="n">
        <v>45909</v>
      </c>
      <c r="S32" s="8" t="n">
        <v>4000</v>
      </c>
      <c r="T32" s="9"/>
    </row>
    <row r="33" customFormat="false" ht="15.75" hidden="false" customHeight="true" outlineLevel="0" collapsed="false">
      <c r="A33" s="8" t="s">
        <v>21</v>
      </c>
      <c r="B33" s="9" t="s">
        <v>93</v>
      </c>
      <c r="C33" s="9" t="s">
        <v>41</v>
      </c>
      <c r="D33" s="9" t="s">
        <v>94</v>
      </c>
      <c r="E33" s="8" t="s">
        <v>25</v>
      </c>
      <c r="F33" s="8" t="n">
        <v>92</v>
      </c>
      <c r="G33" s="9"/>
      <c r="H33" s="10" t="n">
        <v>42064</v>
      </c>
      <c r="I33" s="8" t="n">
        <f aca="true">DATEDIF(H33,TODAY(),"Y")</f>
        <v>11</v>
      </c>
      <c r="J33" s="8" t="n">
        <v>4222</v>
      </c>
      <c r="K33" s="8" t="n">
        <v>471</v>
      </c>
      <c r="L33" s="8" t="n">
        <v>17.36</v>
      </c>
      <c r="M33" s="8" t="n">
        <v>48.37</v>
      </c>
      <c r="N33" s="9"/>
      <c r="O33" s="8" t="s">
        <v>26</v>
      </c>
      <c r="P33" s="9"/>
      <c r="Q33" s="9"/>
      <c r="R33" s="11" t="n">
        <v>45827</v>
      </c>
      <c r="S33" s="8" t="n">
        <v>4000</v>
      </c>
      <c r="T33" s="9"/>
    </row>
    <row r="34" customFormat="false" ht="15.75" hidden="false" customHeight="true" outlineLevel="0" collapsed="false">
      <c r="A34" s="8" t="s">
        <v>21</v>
      </c>
      <c r="B34" s="9" t="s">
        <v>95</v>
      </c>
      <c r="C34" s="9" t="s">
        <v>41</v>
      </c>
      <c r="D34" s="9" t="s">
        <v>96</v>
      </c>
      <c r="E34" s="8" t="s">
        <v>25</v>
      </c>
      <c r="F34" s="8" t="n">
        <v>76</v>
      </c>
      <c r="G34" s="9"/>
      <c r="H34" s="10" t="n">
        <v>42064</v>
      </c>
      <c r="I34" s="8" t="n">
        <f aca="true">DATEDIF(H34,TODAY(),"Y")</f>
        <v>11</v>
      </c>
      <c r="J34" s="8" t="n">
        <v>4873</v>
      </c>
      <c r="K34" s="8" t="n">
        <v>340</v>
      </c>
      <c r="L34" s="8" t="n">
        <v>17.53</v>
      </c>
      <c r="M34" s="8" t="n">
        <v>27.72</v>
      </c>
      <c r="N34" s="9"/>
      <c r="O34" s="8" t="s">
        <v>26</v>
      </c>
      <c r="P34" s="9"/>
      <c r="Q34" s="9"/>
      <c r="R34" s="11" t="n">
        <v>45936</v>
      </c>
      <c r="S34" s="8" t="n">
        <v>4000</v>
      </c>
      <c r="T34" s="9"/>
    </row>
    <row r="35" customFormat="false" ht="15.75" hidden="false" customHeight="true" outlineLevel="0" collapsed="false">
      <c r="A35" s="8" t="s">
        <v>21</v>
      </c>
      <c r="B35" s="9" t="s">
        <v>97</v>
      </c>
      <c r="C35" s="9" t="s">
        <v>41</v>
      </c>
      <c r="D35" s="9" t="s">
        <v>98</v>
      </c>
      <c r="E35" s="8" t="s">
        <v>25</v>
      </c>
      <c r="F35" s="8" t="n">
        <v>82</v>
      </c>
      <c r="G35" s="9"/>
      <c r="H35" s="10" t="n">
        <v>42064</v>
      </c>
      <c r="I35" s="8" t="n">
        <f aca="true">DATEDIF(H35,TODAY(),"Y")</f>
        <v>11</v>
      </c>
      <c r="J35" s="8" t="n">
        <v>4413</v>
      </c>
      <c r="K35" s="8" t="n">
        <v>190</v>
      </c>
      <c r="L35" s="8" t="n">
        <v>25.79</v>
      </c>
      <c r="M35" s="8" t="n">
        <v>41.77</v>
      </c>
      <c r="N35" s="9"/>
      <c r="O35" s="8" t="s">
        <v>26</v>
      </c>
      <c r="P35" s="9"/>
      <c r="Q35" s="9"/>
      <c r="R35" s="11" t="n">
        <v>45827</v>
      </c>
      <c r="S35" s="8" t="n">
        <v>4000</v>
      </c>
      <c r="T35" s="9"/>
    </row>
    <row r="36" customFormat="false" ht="15.75" hidden="false" customHeight="true" outlineLevel="0" collapsed="false">
      <c r="A36" s="8" t="s">
        <v>21</v>
      </c>
      <c r="B36" s="9" t="s">
        <v>99</v>
      </c>
      <c r="C36" s="9" t="s">
        <v>41</v>
      </c>
      <c r="D36" s="9" t="s">
        <v>100</v>
      </c>
      <c r="E36" s="8" t="s">
        <v>25</v>
      </c>
      <c r="F36" s="8" t="n">
        <v>81</v>
      </c>
      <c r="G36" s="9"/>
      <c r="H36" s="10" t="n">
        <v>42064</v>
      </c>
      <c r="I36" s="8" t="n">
        <f aca="true">DATEDIF(H36,TODAY(),"Y")</f>
        <v>11</v>
      </c>
      <c r="J36" s="8" t="n">
        <v>4535</v>
      </c>
      <c r="K36" s="8" t="n">
        <v>471</v>
      </c>
      <c r="L36" s="8" t="n">
        <v>20.08</v>
      </c>
      <c r="M36" s="8" t="n">
        <v>40.83</v>
      </c>
      <c r="N36" s="9"/>
      <c r="O36" s="8" t="s">
        <v>26</v>
      </c>
      <c r="P36" s="9"/>
      <c r="Q36" s="9"/>
      <c r="R36" s="11" t="n">
        <v>45878</v>
      </c>
      <c r="S36" s="8" t="n">
        <v>4000</v>
      </c>
      <c r="T36" s="9"/>
    </row>
    <row r="37" customFormat="false" ht="15.75" hidden="false" customHeight="true" outlineLevel="0" collapsed="false">
      <c r="A37" s="8" t="s">
        <v>21</v>
      </c>
      <c r="B37" s="9" t="s">
        <v>101</v>
      </c>
      <c r="C37" s="9" t="s">
        <v>41</v>
      </c>
      <c r="D37" s="9" t="s">
        <v>102</v>
      </c>
      <c r="E37" s="8" t="s">
        <v>25</v>
      </c>
      <c r="F37" s="8" t="n">
        <v>77</v>
      </c>
      <c r="G37" s="9"/>
      <c r="H37" s="10" t="n">
        <v>42064</v>
      </c>
      <c r="I37" s="8" t="n">
        <f aca="true">DATEDIF(H37,TODAY(),"Y")</f>
        <v>11</v>
      </c>
      <c r="J37" s="8" t="n">
        <v>4307</v>
      </c>
      <c r="K37" s="8" t="n">
        <v>252</v>
      </c>
      <c r="L37" s="8" t="n">
        <v>17.6</v>
      </c>
      <c r="M37" s="8" t="n">
        <v>33.53</v>
      </c>
      <c r="N37" s="9"/>
      <c r="O37" s="8"/>
      <c r="P37" s="9"/>
      <c r="Q37" s="9"/>
      <c r="R37" s="11" t="n">
        <v>45911</v>
      </c>
      <c r="S37" s="8" t="n">
        <v>4000</v>
      </c>
      <c r="T37" s="9"/>
    </row>
    <row r="38" customFormat="false" ht="15.75" hidden="false" customHeight="true" outlineLevel="0" collapsed="false">
      <c r="A38" s="8" t="s">
        <v>21</v>
      </c>
      <c r="B38" s="9" t="s">
        <v>103</v>
      </c>
      <c r="C38" s="9" t="s">
        <v>41</v>
      </c>
      <c r="D38" s="9" t="s">
        <v>104</v>
      </c>
      <c r="E38" s="8" t="s">
        <v>25</v>
      </c>
      <c r="F38" s="8" t="n">
        <v>82</v>
      </c>
      <c r="G38" s="9"/>
      <c r="H38" s="10" t="n">
        <v>42064</v>
      </c>
      <c r="I38" s="8" t="n">
        <f aca="true">DATEDIF(H38,TODAY(),"Y")</f>
        <v>11</v>
      </c>
      <c r="J38" s="8" t="n">
        <v>4955</v>
      </c>
      <c r="K38" s="8" t="n">
        <v>311</v>
      </c>
      <c r="L38" s="8" t="n">
        <v>23.07</v>
      </c>
      <c r="M38" s="8" t="n">
        <v>46.73</v>
      </c>
      <c r="N38" s="9"/>
      <c r="O38" s="8"/>
      <c r="P38" s="9"/>
      <c r="Q38" s="9"/>
      <c r="R38" s="11" t="n">
        <v>45872</v>
      </c>
      <c r="S38" s="8" t="n">
        <v>4000</v>
      </c>
      <c r="T38" s="9"/>
    </row>
    <row r="39" customFormat="false" ht="15.75" hidden="false" customHeight="true" outlineLevel="0" collapsed="false">
      <c r="A39" s="8" t="s">
        <v>21</v>
      </c>
      <c r="B39" s="9" t="s">
        <v>105</v>
      </c>
      <c r="C39" s="9" t="s">
        <v>41</v>
      </c>
      <c r="D39" s="9" t="s">
        <v>106</v>
      </c>
      <c r="E39" s="8" t="s">
        <v>25</v>
      </c>
      <c r="F39" s="8" t="n">
        <v>75</v>
      </c>
      <c r="G39" s="9"/>
      <c r="H39" s="10" t="n">
        <v>42064</v>
      </c>
      <c r="I39" s="8" t="n">
        <f aca="true">DATEDIF(H39,TODAY(),"Y")</f>
        <v>11</v>
      </c>
      <c r="J39" s="8" t="n">
        <v>4826</v>
      </c>
      <c r="K39" s="8" t="n">
        <v>456</v>
      </c>
      <c r="L39" s="8" t="n">
        <v>30.48</v>
      </c>
      <c r="M39" s="8" t="n">
        <v>29.14</v>
      </c>
      <c r="N39" s="9"/>
      <c r="O39" s="8" t="s">
        <v>26</v>
      </c>
      <c r="P39" s="9"/>
      <c r="Q39" s="9"/>
      <c r="R39" s="11" t="n">
        <v>45978</v>
      </c>
      <c r="S39" s="8" t="n">
        <v>4000</v>
      </c>
      <c r="T39" s="9"/>
    </row>
    <row r="40" customFormat="false" ht="15.75" hidden="false" customHeight="true" outlineLevel="0" collapsed="false">
      <c r="A40" s="8" t="s">
        <v>21</v>
      </c>
      <c r="B40" s="9" t="s">
        <v>107</v>
      </c>
      <c r="C40" s="9" t="s">
        <v>41</v>
      </c>
      <c r="D40" s="9" t="s">
        <v>108</v>
      </c>
      <c r="E40" s="8" t="s">
        <v>25</v>
      </c>
      <c r="F40" s="8" t="n">
        <v>92</v>
      </c>
      <c r="G40" s="9"/>
      <c r="H40" s="10" t="n">
        <v>42064</v>
      </c>
      <c r="I40" s="8" t="n">
        <f aca="true">DATEDIF(H40,TODAY(),"Y")</f>
        <v>11</v>
      </c>
      <c r="J40" s="8" t="n">
        <v>4270</v>
      </c>
      <c r="K40" s="8" t="n">
        <v>438</v>
      </c>
      <c r="L40" s="8" t="n">
        <v>25.57</v>
      </c>
      <c r="M40" s="8" t="n">
        <v>53.7</v>
      </c>
      <c r="N40" s="9"/>
      <c r="O40" s="8"/>
      <c r="P40" s="9"/>
      <c r="Q40" s="9"/>
      <c r="R40" s="11" t="n">
        <v>45812</v>
      </c>
      <c r="S40" s="8" t="n">
        <v>4000</v>
      </c>
      <c r="T40" s="9"/>
    </row>
    <row r="41" customFormat="false" ht="15.75" hidden="false" customHeight="true" outlineLevel="0" collapsed="false">
      <c r="A41" s="8" t="s">
        <v>21</v>
      </c>
      <c r="B41" s="9" t="s">
        <v>109</v>
      </c>
      <c r="C41" s="9" t="s">
        <v>41</v>
      </c>
      <c r="D41" s="9" t="s">
        <v>110</v>
      </c>
      <c r="E41" s="8" t="s">
        <v>25</v>
      </c>
      <c r="F41" s="8" t="n">
        <v>91</v>
      </c>
      <c r="G41" s="9"/>
      <c r="H41" s="10" t="n">
        <v>42064</v>
      </c>
      <c r="I41" s="8" t="n">
        <f aca="true">DATEDIF(H41,TODAY(),"Y")</f>
        <v>11</v>
      </c>
      <c r="J41" s="8" t="n">
        <v>4649</v>
      </c>
      <c r="K41" s="8" t="n">
        <v>202</v>
      </c>
      <c r="L41" s="8" t="n">
        <v>17.88</v>
      </c>
      <c r="M41" s="8" t="n">
        <v>41.94</v>
      </c>
      <c r="N41" s="9"/>
      <c r="O41" s="8"/>
      <c r="P41" s="9"/>
      <c r="Q41" s="9"/>
      <c r="R41" s="11" t="n">
        <v>46000</v>
      </c>
      <c r="S41" s="8" t="n">
        <v>4000</v>
      </c>
      <c r="T41" s="9"/>
    </row>
    <row r="42" customFormat="false" ht="15.75" hidden="false" customHeight="true" outlineLevel="0" collapsed="false">
      <c r="A42" s="8" t="s">
        <v>21</v>
      </c>
      <c r="B42" s="9" t="s">
        <v>111</v>
      </c>
      <c r="C42" s="9" t="s">
        <v>41</v>
      </c>
      <c r="D42" s="9" t="s">
        <v>112</v>
      </c>
      <c r="E42" s="8" t="s">
        <v>25</v>
      </c>
      <c r="F42" s="8" t="n">
        <v>79</v>
      </c>
      <c r="G42" s="9"/>
      <c r="H42" s="10" t="n">
        <v>42064</v>
      </c>
      <c r="I42" s="8" t="n">
        <f aca="true">DATEDIF(H42,TODAY(),"Y")</f>
        <v>11</v>
      </c>
      <c r="J42" s="8" t="n">
        <v>4003</v>
      </c>
      <c r="K42" s="8" t="n">
        <v>315</v>
      </c>
      <c r="L42" s="8" t="n">
        <v>27.62</v>
      </c>
      <c r="M42" s="8" t="n">
        <v>47.07</v>
      </c>
      <c r="N42" s="9"/>
      <c r="O42" s="8"/>
      <c r="P42" s="9"/>
      <c r="Q42" s="9"/>
      <c r="R42" s="11" t="n">
        <v>45894</v>
      </c>
      <c r="S42" s="8" t="n">
        <v>4000</v>
      </c>
      <c r="T42" s="9"/>
    </row>
    <row r="43" customFormat="false" ht="15.75" hidden="false" customHeight="true" outlineLevel="0" collapsed="false">
      <c r="A43" s="8" t="s">
        <v>21</v>
      </c>
      <c r="B43" s="9" t="s">
        <v>113</v>
      </c>
      <c r="C43" s="9" t="s">
        <v>41</v>
      </c>
      <c r="D43" s="9" t="s">
        <v>114</v>
      </c>
      <c r="E43" s="8" t="s">
        <v>25</v>
      </c>
      <c r="F43" s="8" t="n">
        <v>79</v>
      </c>
      <c r="G43" s="9"/>
      <c r="H43" s="10" t="n">
        <v>42064</v>
      </c>
      <c r="I43" s="8" t="n">
        <f aca="true">DATEDIF(H43,TODAY(),"Y")</f>
        <v>11</v>
      </c>
      <c r="J43" s="8" t="n">
        <v>4009</v>
      </c>
      <c r="K43" s="8" t="n">
        <v>528</v>
      </c>
      <c r="L43" s="8" t="n">
        <v>25.24</v>
      </c>
      <c r="M43" s="8" t="n">
        <v>30.92</v>
      </c>
      <c r="N43" s="9"/>
      <c r="O43" s="8"/>
      <c r="P43" s="9"/>
      <c r="Q43" s="9"/>
      <c r="R43" s="11" t="n">
        <v>45811</v>
      </c>
      <c r="S43" s="8" t="n">
        <v>4000</v>
      </c>
      <c r="T43" s="9"/>
    </row>
    <row r="44" customFormat="false" ht="15.75" hidden="false" customHeight="true" outlineLevel="0" collapsed="false">
      <c r="A44" s="8" t="s">
        <v>21</v>
      </c>
      <c r="B44" s="9" t="s">
        <v>115</v>
      </c>
      <c r="C44" s="9" t="s">
        <v>41</v>
      </c>
      <c r="D44" s="9" t="s">
        <v>116</v>
      </c>
      <c r="E44" s="8" t="s">
        <v>25</v>
      </c>
      <c r="F44" s="8" t="n">
        <v>76</v>
      </c>
      <c r="G44" s="9"/>
      <c r="H44" s="10" t="n">
        <v>42064</v>
      </c>
      <c r="I44" s="8" t="n">
        <f aca="true">DATEDIF(H44,TODAY(),"Y")</f>
        <v>11</v>
      </c>
      <c r="J44" s="8" t="n">
        <v>4315</v>
      </c>
      <c r="K44" s="8" t="n">
        <v>405</v>
      </c>
      <c r="L44" s="8" t="n">
        <v>26.5</v>
      </c>
      <c r="M44" s="8" t="n">
        <v>39.15</v>
      </c>
      <c r="N44" s="9"/>
      <c r="O44" s="8" t="s">
        <v>26</v>
      </c>
      <c r="P44" s="9"/>
      <c r="Q44" s="9"/>
      <c r="R44" s="11" t="n">
        <v>45895</v>
      </c>
      <c r="S44" s="8" t="n">
        <v>4000</v>
      </c>
      <c r="T44" s="9"/>
    </row>
    <row r="45" customFormat="false" ht="15.75" hidden="false" customHeight="true" outlineLevel="0" collapsed="false">
      <c r="A45" s="8" t="s">
        <v>21</v>
      </c>
      <c r="B45" s="9" t="s">
        <v>117</v>
      </c>
      <c r="C45" s="9" t="s">
        <v>41</v>
      </c>
      <c r="D45" s="9" t="s">
        <v>118</v>
      </c>
      <c r="E45" s="8" t="s">
        <v>25</v>
      </c>
      <c r="F45" s="8" t="n">
        <v>79</v>
      </c>
      <c r="G45" s="9"/>
      <c r="H45" s="10" t="n">
        <v>42064</v>
      </c>
      <c r="I45" s="8" t="n">
        <f aca="true">DATEDIF(H45,TODAY(),"Y")</f>
        <v>11</v>
      </c>
      <c r="J45" s="8" t="n">
        <v>4895</v>
      </c>
      <c r="K45" s="8" t="n">
        <v>331</v>
      </c>
      <c r="L45" s="8" t="n">
        <v>29.72</v>
      </c>
      <c r="M45" s="8" t="n">
        <v>25.99</v>
      </c>
      <c r="N45" s="9"/>
      <c r="O45" s="8" t="s">
        <v>26</v>
      </c>
      <c r="P45" s="9"/>
      <c r="Q45" s="9"/>
      <c r="R45" s="11" t="n">
        <v>45920</v>
      </c>
      <c r="S45" s="8" t="n">
        <v>4000</v>
      </c>
      <c r="T45" s="9"/>
    </row>
    <row r="46" customFormat="false" ht="15.75" hidden="false" customHeight="true" outlineLevel="0" collapsed="false">
      <c r="A46" s="8" t="s">
        <v>21</v>
      </c>
      <c r="B46" s="9" t="s">
        <v>119</v>
      </c>
      <c r="C46" s="9" t="s">
        <v>41</v>
      </c>
      <c r="D46" s="9" t="s">
        <v>120</v>
      </c>
      <c r="E46" s="8" t="s">
        <v>25</v>
      </c>
      <c r="F46" s="8" t="n">
        <v>82</v>
      </c>
      <c r="G46" s="9"/>
      <c r="H46" s="10" t="n">
        <v>42064</v>
      </c>
      <c r="I46" s="8" t="n">
        <f aca="true">DATEDIF(H46,TODAY(),"Y")</f>
        <v>11</v>
      </c>
      <c r="J46" s="8" t="n">
        <v>4340</v>
      </c>
      <c r="K46" s="8" t="n">
        <v>260</v>
      </c>
      <c r="L46" s="8" t="n">
        <v>22.24</v>
      </c>
      <c r="M46" s="8" t="n">
        <v>26.55</v>
      </c>
      <c r="N46" s="9"/>
      <c r="O46" s="8"/>
      <c r="P46" s="9"/>
      <c r="Q46" s="9"/>
      <c r="R46" s="11" t="n">
        <v>46005</v>
      </c>
      <c r="S46" s="8" t="n">
        <v>4000</v>
      </c>
      <c r="T46" s="9"/>
    </row>
    <row r="47" customFormat="false" ht="15.75" hidden="false" customHeight="true" outlineLevel="0" collapsed="false">
      <c r="A47" s="8" t="s">
        <v>21</v>
      </c>
      <c r="B47" s="9" t="s">
        <v>121</v>
      </c>
      <c r="C47" s="9" t="s">
        <v>41</v>
      </c>
      <c r="D47" s="9" t="s">
        <v>122</v>
      </c>
      <c r="E47" s="8" t="s">
        <v>25</v>
      </c>
      <c r="F47" s="8" t="n">
        <v>86</v>
      </c>
      <c r="G47" s="9"/>
      <c r="H47" s="10" t="n">
        <v>42064</v>
      </c>
      <c r="I47" s="8" t="n">
        <f aca="true">DATEDIF(H47,TODAY(),"Y")</f>
        <v>11</v>
      </c>
      <c r="J47" s="8" t="n">
        <v>4204</v>
      </c>
      <c r="K47" s="8" t="n">
        <v>383</v>
      </c>
      <c r="L47" s="8" t="n">
        <v>19.84</v>
      </c>
      <c r="M47" s="8" t="n">
        <v>51.4</v>
      </c>
      <c r="N47" s="9"/>
      <c r="O47" s="8"/>
      <c r="P47" s="9"/>
      <c r="Q47" s="9"/>
      <c r="R47" s="11" t="n">
        <v>46006</v>
      </c>
      <c r="S47" s="8" t="n">
        <v>4000</v>
      </c>
      <c r="T47" s="9"/>
    </row>
    <row r="48" customFormat="false" ht="15.75" hidden="false" customHeight="true" outlineLevel="0" collapsed="false">
      <c r="A48" s="8" t="s">
        <v>21</v>
      </c>
      <c r="B48" s="9" t="s">
        <v>123</v>
      </c>
      <c r="C48" s="9" t="s">
        <v>41</v>
      </c>
      <c r="D48" s="9" t="s">
        <v>124</v>
      </c>
      <c r="E48" s="8" t="s">
        <v>25</v>
      </c>
      <c r="F48" s="8" t="n">
        <v>83</v>
      </c>
      <c r="G48" s="9"/>
      <c r="H48" s="10" t="n">
        <v>42064</v>
      </c>
      <c r="I48" s="8" t="n">
        <f aca="true">DATEDIF(H48,TODAY(),"Y")</f>
        <v>11</v>
      </c>
      <c r="J48" s="8" t="n">
        <v>4285</v>
      </c>
      <c r="K48" s="8" t="n">
        <v>671</v>
      </c>
      <c r="L48" s="8" t="n">
        <v>22.5</v>
      </c>
      <c r="M48" s="8" t="n">
        <v>64.25</v>
      </c>
      <c r="N48" s="9"/>
      <c r="O48" s="8" t="s">
        <v>26</v>
      </c>
      <c r="P48" s="9"/>
      <c r="Q48" s="9"/>
      <c r="R48" s="11" t="n">
        <v>45994</v>
      </c>
      <c r="S48" s="8" t="n">
        <v>4000</v>
      </c>
      <c r="T48" s="9"/>
    </row>
    <row r="49" customFormat="false" ht="15.75" hidden="false" customHeight="true" outlineLevel="0" collapsed="false">
      <c r="A49" s="8" t="s">
        <v>21</v>
      </c>
      <c r="B49" s="9" t="s">
        <v>125</v>
      </c>
      <c r="C49" s="9" t="s">
        <v>41</v>
      </c>
      <c r="D49" s="9" t="s">
        <v>126</v>
      </c>
      <c r="E49" s="8" t="s">
        <v>25</v>
      </c>
      <c r="F49" s="8" t="n">
        <v>83</v>
      </c>
      <c r="G49" s="9"/>
      <c r="H49" s="10" t="n">
        <v>42064</v>
      </c>
      <c r="I49" s="8" t="n">
        <f aca="true">DATEDIF(H49,TODAY(),"Y")</f>
        <v>11</v>
      </c>
      <c r="J49" s="8" t="n">
        <v>4961</v>
      </c>
      <c r="K49" s="8" t="n">
        <v>421</v>
      </c>
      <c r="L49" s="8" t="n">
        <v>17.07</v>
      </c>
      <c r="M49" s="8" t="n">
        <v>48.86</v>
      </c>
      <c r="N49" s="9"/>
      <c r="O49" s="8"/>
      <c r="P49" s="9"/>
      <c r="Q49" s="9"/>
      <c r="R49" s="11" t="n">
        <v>45812</v>
      </c>
      <c r="S49" s="8" t="n">
        <v>4000</v>
      </c>
      <c r="T49" s="9"/>
    </row>
    <row r="50" customFormat="false" ht="15.75" hidden="false" customHeight="true" outlineLevel="0" collapsed="false">
      <c r="A50" s="8" t="s">
        <v>21</v>
      </c>
      <c r="B50" s="9" t="s">
        <v>127</v>
      </c>
      <c r="C50" s="9" t="s">
        <v>41</v>
      </c>
      <c r="D50" s="9" t="s">
        <v>128</v>
      </c>
      <c r="E50" s="8" t="s">
        <v>25</v>
      </c>
      <c r="F50" s="8" t="n">
        <v>94</v>
      </c>
      <c r="G50" s="9"/>
      <c r="H50" s="10" t="n">
        <v>42064</v>
      </c>
      <c r="I50" s="8" t="n">
        <f aca="true">DATEDIF(H50,TODAY(),"Y")</f>
        <v>11</v>
      </c>
      <c r="J50" s="8" t="n">
        <v>4805</v>
      </c>
      <c r="K50" s="8" t="n">
        <v>544</v>
      </c>
      <c r="L50" s="8" t="n">
        <v>29.99</v>
      </c>
      <c r="M50" s="8" t="n">
        <v>32.6</v>
      </c>
      <c r="N50" s="9"/>
      <c r="O50" s="8"/>
      <c r="P50" s="9"/>
      <c r="Q50" s="9"/>
      <c r="R50" s="11" t="n">
        <v>45883</v>
      </c>
      <c r="S50" s="8" t="n">
        <v>4000</v>
      </c>
      <c r="T50" s="9"/>
    </row>
    <row r="51" customFormat="false" ht="15.75" hidden="false" customHeight="true" outlineLevel="0" collapsed="false">
      <c r="A51" s="8" t="s">
        <v>21</v>
      </c>
      <c r="B51" s="9" t="s">
        <v>129</v>
      </c>
      <c r="C51" s="9" t="s">
        <v>41</v>
      </c>
      <c r="D51" s="9" t="s">
        <v>130</v>
      </c>
      <c r="E51" s="8" t="s">
        <v>25</v>
      </c>
      <c r="F51" s="8" t="n">
        <v>92</v>
      </c>
      <c r="G51" s="9"/>
      <c r="H51" s="10" t="n">
        <v>42064</v>
      </c>
      <c r="I51" s="8" t="n">
        <f aca="true">DATEDIF(H51,TODAY(),"Y")</f>
        <v>11</v>
      </c>
      <c r="J51" s="8" t="n">
        <v>4446</v>
      </c>
      <c r="K51" s="8" t="n">
        <v>351</v>
      </c>
      <c r="L51" s="8" t="n">
        <v>21.96</v>
      </c>
      <c r="M51" s="8" t="n">
        <v>27.8</v>
      </c>
      <c r="N51" s="9"/>
      <c r="O51" s="8" t="s">
        <v>26</v>
      </c>
      <c r="P51" s="9"/>
      <c r="Q51" s="9"/>
      <c r="R51" s="11" t="n">
        <v>45825</v>
      </c>
      <c r="S51" s="8" t="n">
        <v>4000</v>
      </c>
      <c r="T51" s="9"/>
    </row>
    <row r="52" customFormat="false" ht="15.75" hidden="false" customHeight="true" outlineLevel="0" collapsed="false">
      <c r="A52" s="8" t="s">
        <v>21</v>
      </c>
      <c r="B52" s="9" t="s">
        <v>131</v>
      </c>
      <c r="C52" s="9" t="s">
        <v>41</v>
      </c>
      <c r="D52" s="9" t="s">
        <v>132</v>
      </c>
      <c r="E52" s="8" t="s">
        <v>25</v>
      </c>
      <c r="F52" s="8" t="n">
        <v>78</v>
      </c>
      <c r="G52" s="9"/>
      <c r="H52" s="10" t="n">
        <v>42064</v>
      </c>
      <c r="I52" s="8" t="n">
        <f aca="true">DATEDIF(H52,TODAY(),"Y")</f>
        <v>11</v>
      </c>
      <c r="J52" s="8" t="n">
        <v>4338</v>
      </c>
      <c r="K52" s="8" t="n">
        <v>669</v>
      </c>
      <c r="L52" s="8" t="n">
        <v>21.14</v>
      </c>
      <c r="M52" s="8" t="n">
        <v>41.34</v>
      </c>
      <c r="N52" s="9"/>
      <c r="O52" s="8"/>
      <c r="P52" s="9"/>
      <c r="Q52" s="9"/>
      <c r="R52" s="11" t="n">
        <v>45941</v>
      </c>
      <c r="S52" s="8" t="n">
        <v>4000</v>
      </c>
      <c r="T52" s="9"/>
    </row>
    <row r="53" customFormat="false" ht="15.75" hidden="false" customHeight="true" outlineLevel="0" collapsed="false">
      <c r="A53" s="8" t="s">
        <v>21</v>
      </c>
      <c r="B53" s="9" t="s">
        <v>133</v>
      </c>
      <c r="C53" s="9" t="s">
        <v>41</v>
      </c>
      <c r="D53" s="9" t="s">
        <v>134</v>
      </c>
      <c r="E53" s="8" t="s">
        <v>25</v>
      </c>
      <c r="F53" s="8" t="n">
        <v>81</v>
      </c>
      <c r="G53" s="9"/>
      <c r="H53" s="10" t="n">
        <v>42064</v>
      </c>
      <c r="I53" s="8" t="n">
        <f aca="true">DATEDIF(H53,TODAY(),"Y")</f>
        <v>11</v>
      </c>
      <c r="J53" s="8" t="n">
        <v>4302</v>
      </c>
      <c r="K53" s="8" t="n">
        <v>538</v>
      </c>
      <c r="L53" s="8" t="n">
        <v>26.66</v>
      </c>
      <c r="M53" s="8" t="n">
        <v>61.11</v>
      </c>
      <c r="N53" s="9"/>
      <c r="O53" s="8" t="s">
        <v>26</v>
      </c>
      <c r="P53" s="9"/>
      <c r="Q53" s="9"/>
      <c r="R53" s="11" t="n">
        <v>45935</v>
      </c>
      <c r="S53" s="8" t="n">
        <v>4000</v>
      </c>
      <c r="T53" s="9"/>
    </row>
    <row r="54" customFormat="false" ht="15.75" hidden="false" customHeight="true" outlineLevel="0" collapsed="false">
      <c r="A54" s="8" t="s">
        <v>21</v>
      </c>
      <c r="B54" s="9" t="s">
        <v>135</v>
      </c>
      <c r="C54" s="9" t="s">
        <v>41</v>
      </c>
      <c r="D54" s="9" t="s">
        <v>136</v>
      </c>
      <c r="E54" s="8" t="s">
        <v>25</v>
      </c>
      <c r="F54" s="8" t="n">
        <v>75</v>
      </c>
      <c r="G54" s="9"/>
      <c r="H54" s="10" t="n">
        <v>42064</v>
      </c>
      <c r="I54" s="8" t="n">
        <f aca="true">DATEDIF(H54,TODAY(),"Y")</f>
        <v>11</v>
      </c>
      <c r="J54" s="8" t="n">
        <v>4308</v>
      </c>
      <c r="K54" s="8" t="n">
        <v>365</v>
      </c>
      <c r="L54" s="8" t="n">
        <v>22.95</v>
      </c>
      <c r="M54" s="8" t="n">
        <v>48.2</v>
      </c>
      <c r="N54" s="9"/>
      <c r="O54" s="8" t="s">
        <v>26</v>
      </c>
      <c r="P54" s="9"/>
      <c r="Q54" s="9"/>
      <c r="R54" s="11" t="n">
        <v>45918</v>
      </c>
      <c r="S54" s="8" t="n">
        <v>4000</v>
      </c>
      <c r="T54" s="9"/>
    </row>
    <row r="55" customFormat="false" ht="15.75" hidden="false" customHeight="true" outlineLevel="0" collapsed="false">
      <c r="A55" s="8" t="s">
        <v>21</v>
      </c>
      <c r="B55" s="9" t="s">
        <v>137</v>
      </c>
      <c r="C55" s="9" t="s">
        <v>41</v>
      </c>
      <c r="D55" s="9" t="s">
        <v>138</v>
      </c>
      <c r="E55" s="8" t="s">
        <v>25</v>
      </c>
      <c r="F55" s="8" t="n">
        <v>81</v>
      </c>
      <c r="G55" s="9"/>
      <c r="H55" s="10" t="n">
        <v>42064</v>
      </c>
      <c r="I55" s="8" t="n">
        <f aca="true">DATEDIF(H55,TODAY(),"Y")</f>
        <v>11</v>
      </c>
      <c r="J55" s="8" t="n">
        <v>4476</v>
      </c>
      <c r="K55" s="8" t="n">
        <v>323</v>
      </c>
      <c r="L55" s="8" t="n">
        <v>26.38</v>
      </c>
      <c r="M55" s="8" t="n">
        <v>36.35</v>
      </c>
      <c r="N55" s="9"/>
      <c r="O55" s="8" t="s">
        <v>26</v>
      </c>
      <c r="P55" s="9"/>
      <c r="Q55" s="9"/>
      <c r="R55" s="11" t="n">
        <v>45915</v>
      </c>
      <c r="S55" s="8" t="n">
        <v>4000</v>
      </c>
      <c r="T55" s="9"/>
    </row>
    <row r="56" customFormat="false" ht="15.75" hidden="false" customHeight="true" outlineLevel="0" collapsed="false">
      <c r="A56" s="8" t="s">
        <v>21</v>
      </c>
      <c r="B56" s="9" t="s">
        <v>139</v>
      </c>
      <c r="C56" s="9" t="s">
        <v>41</v>
      </c>
      <c r="D56" s="9" t="s">
        <v>140</v>
      </c>
      <c r="E56" s="8" t="s">
        <v>25</v>
      </c>
      <c r="F56" s="8" t="n">
        <v>82</v>
      </c>
      <c r="G56" s="9"/>
      <c r="H56" s="10" t="n">
        <v>42064</v>
      </c>
      <c r="I56" s="8" t="n">
        <f aca="true">DATEDIF(H56,TODAY(),"Y")</f>
        <v>11</v>
      </c>
      <c r="J56" s="8" t="n">
        <v>4634</v>
      </c>
      <c r="K56" s="8" t="n">
        <v>380</v>
      </c>
      <c r="L56" s="8" t="n">
        <v>28.6</v>
      </c>
      <c r="M56" s="8" t="n">
        <v>30.89</v>
      </c>
      <c r="N56" s="9"/>
      <c r="O56" s="8"/>
      <c r="P56" s="9"/>
      <c r="Q56" s="9"/>
      <c r="R56" s="11" t="n">
        <v>45872</v>
      </c>
      <c r="S56" s="8" t="n">
        <v>4000</v>
      </c>
      <c r="T56" s="9"/>
    </row>
    <row r="57" customFormat="false" ht="15.75" hidden="false" customHeight="true" outlineLevel="0" collapsed="false">
      <c r="A57" s="8" t="s">
        <v>21</v>
      </c>
      <c r="B57" s="9" t="s">
        <v>141</v>
      </c>
      <c r="C57" s="9" t="s">
        <v>41</v>
      </c>
      <c r="D57" s="9" t="s">
        <v>142</v>
      </c>
      <c r="E57" s="8" t="s">
        <v>25</v>
      </c>
      <c r="F57" s="8" t="n">
        <v>77</v>
      </c>
      <c r="G57" s="9"/>
      <c r="H57" s="10" t="n">
        <v>42064</v>
      </c>
      <c r="I57" s="8" t="n">
        <f aca="true">DATEDIF(H57,TODAY(),"Y")</f>
        <v>11</v>
      </c>
      <c r="J57" s="8" t="n">
        <v>4486</v>
      </c>
      <c r="K57" s="8" t="n">
        <v>349</v>
      </c>
      <c r="L57" s="8" t="n">
        <v>27.28</v>
      </c>
      <c r="M57" s="8" t="n">
        <v>40.36</v>
      </c>
      <c r="N57" s="9"/>
      <c r="O57" s="8"/>
      <c r="P57" s="9"/>
      <c r="Q57" s="9"/>
      <c r="R57" s="11" t="n">
        <v>45958</v>
      </c>
      <c r="S57" s="8" t="n">
        <v>4000</v>
      </c>
      <c r="T57" s="9"/>
    </row>
    <row r="58" customFormat="false" ht="15.75" hidden="false" customHeight="true" outlineLevel="0" collapsed="false">
      <c r="A58" s="8" t="s">
        <v>21</v>
      </c>
      <c r="B58" s="9" t="s">
        <v>143</v>
      </c>
      <c r="C58" s="9" t="s">
        <v>144</v>
      </c>
      <c r="D58" s="9" t="s">
        <v>145</v>
      </c>
      <c r="E58" s="8" t="s">
        <v>25</v>
      </c>
      <c r="F58" s="8" t="n">
        <v>75</v>
      </c>
      <c r="G58" s="9"/>
      <c r="H58" s="10" t="n">
        <v>42156</v>
      </c>
      <c r="I58" s="8" t="n">
        <f aca="true">DATEDIF(H58,TODAY(),"Y")</f>
        <v>10</v>
      </c>
      <c r="J58" s="8" t="n">
        <v>2651</v>
      </c>
      <c r="K58" s="8" t="n">
        <v>259</v>
      </c>
      <c r="L58" s="8" t="n">
        <v>28.18</v>
      </c>
      <c r="M58" s="8" t="n">
        <v>33.75</v>
      </c>
      <c r="N58" s="9"/>
      <c r="O58" s="8" t="s">
        <v>26</v>
      </c>
      <c r="P58" s="9"/>
      <c r="Q58" s="9"/>
      <c r="R58" s="11" t="n">
        <v>45984</v>
      </c>
      <c r="S58" s="8" t="n">
        <v>4000</v>
      </c>
      <c r="T58" s="9"/>
    </row>
    <row r="59" customFormat="false" ht="15.75" hidden="false" customHeight="true" outlineLevel="0" collapsed="false">
      <c r="A59" s="8" t="s">
        <v>21</v>
      </c>
      <c r="B59" s="9" t="s">
        <v>146</v>
      </c>
      <c r="C59" s="9" t="s">
        <v>144</v>
      </c>
      <c r="D59" s="9" t="s">
        <v>147</v>
      </c>
      <c r="E59" s="8" t="s">
        <v>25</v>
      </c>
      <c r="F59" s="8" t="n">
        <v>76</v>
      </c>
      <c r="G59" s="9"/>
      <c r="H59" s="10" t="n">
        <v>42156</v>
      </c>
      <c r="I59" s="8" t="n">
        <f aca="true">DATEDIF(H59,TODAY(),"Y")</f>
        <v>10</v>
      </c>
      <c r="J59" s="8" t="n">
        <v>3212</v>
      </c>
      <c r="K59" s="8" t="n">
        <v>274</v>
      </c>
      <c r="L59" s="8" t="n">
        <v>23.35</v>
      </c>
      <c r="M59" s="8" t="n">
        <v>57.06</v>
      </c>
      <c r="N59" s="9"/>
      <c r="O59" s="8" t="s">
        <v>26</v>
      </c>
      <c r="P59" s="9"/>
      <c r="Q59" s="9"/>
      <c r="R59" s="11" t="n">
        <v>45945</v>
      </c>
      <c r="S59" s="8" t="n">
        <v>4000</v>
      </c>
      <c r="T59" s="9"/>
    </row>
    <row r="60" customFormat="false" ht="15.75" hidden="false" customHeight="true" outlineLevel="0" collapsed="false">
      <c r="A60" s="8" t="s">
        <v>21</v>
      </c>
      <c r="B60" s="9" t="s">
        <v>148</v>
      </c>
      <c r="C60" s="9" t="s">
        <v>149</v>
      </c>
      <c r="D60" s="9" t="s">
        <v>150</v>
      </c>
      <c r="E60" s="8" t="s">
        <v>25</v>
      </c>
      <c r="F60" s="8" t="n">
        <v>89</v>
      </c>
      <c r="G60" s="9"/>
      <c r="H60" s="10" t="n">
        <v>42156</v>
      </c>
      <c r="I60" s="8" t="n">
        <f aca="true">DATEDIF(H60,TODAY(),"Y")</f>
        <v>10</v>
      </c>
      <c r="J60" s="8" t="n">
        <v>4572</v>
      </c>
      <c r="K60" s="8" t="n">
        <v>666</v>
      </c>
      <c r="L60" s="8" t="n">
        <v>22.9</v>
      </c>
      <c r="M60" s="8" t="n">
        <v>61.27</v>
      </c>
      <c r="N60" s="9"/>
      <c r="O60" s="8"/>
      <c r="P60" s="9"/>
      <c r="Q60" s="9"/>
      <c r="R60" s="11" t="n">
        <v>45941</v>
      </c>
      <c r="S60" s="8" t="n">
        <v>2000</v>
      </c>
      <c r="T60" s="9"/>
    </row>
    <row r="61" customFormat="false" ht="15.75" hidden="false" customHeight="true" outlineLevel="0" collapsed="false">
      <c r="A61" s="8" t="s">
        <v>21</v>
      </c>
      <c r="B61" s="9" t="s">
        <v>151</v>
      </c>
      <c r="C61" s="9" t="s">
        <v>149</v>
      </c>
      <c r="D61" s="9" t="s">
        <v>152</v>
      </c>
      <c r="E61" s="8" t="s">
        <v>25</v>
      </c>
      <c r="F61" s="8" t="n">
        <v>90</v>
      </c>
      <c r="G61" s="9"/>
      <c r="H61" s="10" t="n">
        <v>42156</v>
      </c>
      <c r="I61" s="8" t="n">
        <f aca="true">DATEDIF(H61,TODAY(),"Y")</f>
        <v>10</v>
      </c>
      <c r="J61" s="8" t="n">
        <v>4162</v>
      </c>
      <c r="K61" s="8" t="n">
        <v>403</v>
      </c>
      <c r="L61" s="8" t="n">
        <v>29.1</v>
      </c>
      <c r="M61" s="8" t="n">
        <v>36.09</v>
      </c>
      <c r="N61" s="9"/>
      <c r="O61" s="8" t="s">
        <v>26</v>
      </c>
      <c r="P61" s="9"/>
      <c r="Q61" s="9"/>
      <c r="R61" s="11" t="n">
        <v>45989</v>
      </c>
      <c r="S61" s="8" t="n">
        <v>2000</v>
      </c>
      <c r="T61" s="9"/>
    </row>
    <row r="62" customFormat="false" ht="15.75" hidden="false" customHeight="true" outlineLevel="0" collapsed="false">
      <c r="A62" s="8" t="s">
        <v>21</v>
      </c>
      <c r="B62" s="9" t="s">
        <v>153</v>
      </c>
      <c r="C62" s="9" t="s">
        <v>149</v>
      </c>
      <c r="D62" s="9" t="s">
        <v>154</v>
      </c>
      <c r="E62" s="8" t="s">
        <v>25</v>
      </c>
      <c r="F62" s="8" t="n">
        <v>83</v>
      </c>
      <c r="G62" s="9"/>
      <c r="H62" s="10" t="n">
        <v>42156</v>
      </c>
      <c r="I62" s="8" t="n">
        <f aca="true">DATEDIF(H62,TODAY(),"Y")</f>
        <v>10</v>
      </c>
      <c r="J62" s="8" t="n">
        <v>4496</v>
      </c>
      <c r="K62" s="8" t="n">
        <v>442</v>
      </c>
      <c r="L62" s="8" t="n">
        <v>20.02</v>
      </c>
      <c r="M62" s="8" t="n">
        <v>38.43</v>
      </c>
      <c r="N62" s="9"/>
      <c r="O62" s="8" t="s">
        <v>26</v>
      </c>
      <c r="P62" s="9"/>
      <c r="Q62" s="9"/>
      <c r="R62" s="11" t="n">
        <v>45969</v>
      </c>
      <c r="S62" s="8" t="n">
        <v>2000</v>
      </c>
      <c r="T62" s="9"/>
    </row>
    <row r="63" customFormat="false" ht="15.75" hidden="false" customHeight="true" outlineLevel="0" collapsed="false">
      <c r="A63" s="8" t="s">
        <v>21</v>
      </c>
      <c r="B63" s="9" t="s">
        <v>155</v>
      </c>
      <c r="C63" s="9" t="s">
        <v>149</v>
      </c>
      <c r="D63" s="9" t="s">
        <v>156</v>
      </c>
      <c r="E63" s="8" t="s">
        <v>25</v>
      </c>
      <c r="F63" s="8" t="n">
        <v>82</v>
      </c>
      <c r="G63" s="9"/>
      <c r="H63" s="10" t="n">
        <v>42156</v>
      </c>
      <c r="I63" s="8" t="n">
        <f aca="true">DATEDIF(H63,TODAY(),"Y")</f>
        <v>10</v>
      </c>
      <c r="J63" s="8" t="n">
        <v>4082</v>
      </c>
      <c r="K63" s="8" t="n">
        <v>306</v>
      </c>
      <c r="L63" s="8" t="n">
        <v>27.1</v>
      </c>
      <c r="M63" s="8" t="n">
        <v>27.57</v>
      </c>
      <c r="N63" s="9"/>
      <c r="O63" s="8"/>
      <c r="P63" s="9"/>
      <c r="Q63" s="9"/>
      <c r="R63" s="11" t="n">
        <v>45843</v>
      </c>
      <c r="S63" s="8" t="n">
        <v>2000</v>
      </c>
      <c r="T63" s="9"/>
    </row>
    <row r="64" customFormat="false" ht="15.75" hidden="false" customHeight="true" outlineLevel="0" collapsed="false">
      <c r="A64" s="8" t="s">
        <v>21</v>
      </c>
      <c r="B64" s="9" t="s">
        <v>157</v>
      </c>
      <c r="C64" s="9" t="s">
        <v>149</v>
      </c>
      <c r="D64" s="9" t="s">
        <v>158</v>
      </c>
      <c r="E64" s="8" t="s">
        <v>25</v>
      </c>
      <c r="F64" s="8" t="n">
        <v>76</v>
      </c>
      <c r="G64" s="9"/>
      <c r="H64" s="10" t="n">
        <v>42156</v>
      </c>
      <c r="I64" s="8" t="n">
        <f aca="true">DATEDIF(H64,TODAY(),"Y")</f>
        <v>10</v>
      </c>
      <c r="J64" s="8" t="n">
        <v>4555</v>
      </c>
      <c r="K64" s="8" t="n">
        <v>548</v>
      </c>
      <c r="L64" s="8" t="n">
        <v>30.07</v>
      </c>
      <c r="M64" s="8" t="n">
        <v>48.36</v>
      </c>
      <c r="N64" s="9"/>
      <c r="O64" s="8" t="s">
        <v>26</v>
      </c>
      <c r="P64" s="9"/>
      <c r="Q64" s="9"/>
      <c r="R64" s="11" t="n">
        <v>45914</v>
      </c>
      <c r="S64" s="8" t="n">
        <v>2000</v>
      </c>
      <c r="T64" s="9"/>
    </row>
    <row r="65" customFormat="false" ht="15.75" hidden="false" customHeight="true" outlineLevel="0" collapsed="false">
      <c r="A65" s="8" t="s">
        <v>21</v>
      </c>
      <c r="B65" s="9" t="s">
        <v>159</v>
      </c>
      <c r="C65" s="9" t="s">
        <v>149</v>
      </c>
      <c r="D65" s="9" t="s">
        <v>160</v>
      </c>
      <c r="E65" s="8" t="s">
        <v>25</v>
      </c>
      <c r="F65" s="8" t="n">
        <v>87</v>
      </c>
      <c r="G65" s="9"/>
      <c r="H65" s="10" t="n">
        <v>42156</v>
      </c>
      <c r="I65" s="8" t="n">
        <f aca="true">DATEDIF(H65,TODAY(),"Y")</f>
        <v>10</v>
      </c>
      <c r="J65" s="8" t="n">
        <v>4877</v>
      </c>
      <c r="K65" s="8" t="n">
        <v>510</v>
      </c>
      <c r="L65" s="8" t="n">
        <v>20.98</v>
      </c>
      <c r="M65" s="8" t="n">
        <v>40.6</v>
      </c>
      <c r="N65" s="9"/>
      <c r="O65" s="8" t="s">
        <v>26</v>
      </c>
      <c r="P65" s="9"/>
      <c r="Q65" s="9"/>
      <c r="R65" s="11" t="n">
        <v>46010</v>
      </c>
      <c r="S65" s="8" t="n">
        <v>2000</v>
      </c>
      <c r="T65" s="9"/>
    </row>
    <row r="66" customFormat="false" ht="15.75" hidden="false" customHeight="true" outlineLevel="0" collapsed="false">
      <c r="A66" s="8" t="s">
        <v>21</v>
      </c>
      <c r="B66" s="9" t="s">
        <v>161</v>
      </c>
      <c r="C66" s="9" t="s">
        <v>162</v>
      </c>
      <c r="D66" s="9" t="s">
        <v>163</v>
      </c>
      <c r="E66" s="8" t="s">
        <v>25</v>
      </c>
      <c r="F66" s="8" t="n">
        <v>92</v>
      </c>
      <c r="G66" s="9"/>
      <c r="H66" s="10" t="n">
        <v>43101</v>
      </c>
      <c r="I66" s="8" t="n">
        <f aca="true">DATEDIF(H66,TODAY(),"Y")</f>
        <v>8</v>
      </c>
      <c r="J66" s="8" t="n">
        <v>3355</v>
      </c>
      <c r="K66" s="8" t="n">
        <v>375</v>
      </c>
      <c r="L66" s="8" t="n">
        <v>23.82</v>
      </c>
      <c r="M66" s="8" t="n">
        <v>35.92</v>
      </c>
      <c r="N66" s="9"/>
      <c r="O66" s="8"/>
      <c r="P66" s="9"/>
      <c r="Q66" s="9"/>
      <c r="R66" s="11" t="n">
        <v>45918</v>
      </c>
      <c r="S66" s="8" t="n">
        <v>4000</v>
      </c>
      <c r="T66" s="9"/>
    </row>
    <row r="67" customFormat="false" ht="15.75" hidden="false" customHeight="true" outlineLevel="0" collapsed="false">
      <c r="A67" s="8" t="s">
        <v>21</v>
      </c>
      <c r="B67" s="9" t="s">
        <v>164</v>
      </c>
      <c r="C67" s="9" t="s">
        <v>162</v>
      </c>
      <c r="D67" s="9" t="s">
        <v>165</v>
      </c>
      <c r="E67" s="8" t="s">
        <v>25</v>
      </c>
      <c r="F67" s="8" t="n">
        <v>87</v>
      </c>
      <c r="G67" s="9"/>
      <c r="H67" s="10" t="n">
        <v>43101</v>
      </c>
      <c r="I67" s="8" t="n">
        <f aca="true">DATEDIF(H67,TODAY(),"Y")</f>
        <v>8</v>
      </c>
      <c r="J67" s="8" t="n">
        <v>2898</v>
      </c>
      <c r="K67" s="8" t="n">
        <v>628</v>
      </c>
      <c r="L67" s="8" t="n">
        <v>30.29</v>
      </c>
      <c r="M67" s="8" t="n">
        <v>64.23</v>
      </c>
      <c r="N67" s="9"/>
      <c r="O67" s="8" t="s">
        <v>26</v>
      </c>
      <c r="P67" s="9"/>
      <c r="Q67" s="9"/>
      <c r="R67" s="11" t="n">
        <v>45891</v>
      </c>
      <c r="S67" s="8" t="n">
        <v>4000</v>
      </c>
      <c r="T67" s="9"/>
    </row>
    <row r="68" customFormat="false" ht="15.75" hidden="false" customHeight="true" outlineLevel="0" collapsed="false">
      <c r="A68" s="20" t="s">
        <v>21</v>
      </c>
      <c r="B68" s="21" t="s">
        <v>166</v>
      </c>
      <c r="C68" s="21" t="s">
        <v>162</v>
      </c>
      <c r="D68" s="21" t="s">
        <v>167</v>
      </c>
      <c r="E68" s="20" t="s">
        <v>168</v>
      </c>
      <c r="F68" s="20" t="n">
        <v>61</v>
      </c>
      <c r="G68" s="21" t="s">
        <v>169</v>
      </c>
      <c r="H68" s="22" t="n">
        <v>43101</v>
      </c>
      <c r="I68" s="20" t="n">
        <f aca="true">DATEDIF(H68,TODAY(),"Y")</f>
        <v>8</v>
      </c>
      <c r="J68" s="20" t="n">
        <v>3428</v>
      </c>
      <c r="K68" s="20" t="n">
        <v>235</v>
      </c>
      <c r="L68" s="20" t="n">
        <v>26.14</v>
      </c>
      <c r="M68" s="20" t="n">
        <v>30.43</v>
      </c>
      <c r="N68" s="21" t="s">
        <v>170</v>
      </c>
      <c r="O68" s="20" t="s">
        <v>171</v>
      </c>
      <c r="P68" s="22" t="s">
        <v>172</v>
      </c>
      <c r="Q68" s="21" t="s">
        <v>173</v>
      </c>
      <c r="R68" s="23" t="n">
        <v>45919</v>
      </c>
      <c r="S68" s="20" t="n">
        <v>4000</v>
      </c>
      <c r="T68" s="21" t="s">
        <v>174</v>
      </c>
    </row>
    <row r="69" customFormat="false" ht="15.75" hidden="false" customHeight="true" outlineLevel="0" collapsed="false">
      <c r="A69" s="8" t="s">
        <v>21</v>
      </c>
      <c r="B69" s="9" t="s">
        <v>175</v>
      </c>
      <c r="C69" s="9" t="s">
        <v>162</v>
      </c>
      <c r="D69" s="9" t="s">
        <v>176</v>
      </c>
      <c r="E69" s="8" t="s">
        <v>25</v>
      </c>
      <c r="F69" s="8" t="n">
        <v>83</v>
      </c>
      <c r="G69" s="9"/>
      <c r="H69" s="10" t="n">
        <v>43101</v>
      </c>
      <c r="I69" s="8" t="n">
        <f aca="true">DATEDIF(H69,TODAY(),"Y")</f>
        <v>8</v>
      </c>
      <c r="J69" s="8" t="n">
        <v>2972</v>
      </c>
      <c r="K69" s="8" t="n">
        <v>366</v>
      </c>
      <c r="L69" s="8" t="n">
        <v>23.32</v>
      </c>
      <c r="M69" s="8" t="n">
        <v>38.5</v>
      </c>
      <c r="N69" s="9"/>
      <c r="O69" s="8" t="s">
        <v>26</v>
      </c>
      <c r="P69" s="9"/>
      <c r="Q69" s="9"/>
      <c r="R69" s="11" t="n">
        <v>45840</v>
      </c>
      <c r="S69" s="8" t="n">
        <v>4000</v>
      </c>
      <c r="T69" s="9"/>
    </row>
    <row r="70" customFormat="false" ht="15.75" hidden="false" customHeight="true" outlineLevel="0" collapsed="false">
      <c r="A70" s="8" t="s">
        <v>21</v>
      </c>
      <c r="B70" s="9" t="s">
        <v>177</v>
      </c>
      <c r="C70" s="9" t="s">
        <v>162</v>
      </c>
      <c r="D70" s="9" t="s">
        <v>178</v>
      </c>
      <c r="E70" s="8" t="s">
        <v>25</v>
      </c>
      <c r="F70" s="8" t="n">
        <v>88</v>
      </c>
      <c r="G70" s="9"/>
      <c r="H70" s="10" t="n">
        <v>43101</v>
      </c>
      <c r="I70" s="8" t="n">
        <f aca="true">DATEDIF(H70,TODAY(),"Y")</f>
        <v>8</v>
      </c>
      <c r="J70" s="8" t="n">
        <v>2784</v>
      </c>
      <c r="K70" s="8" t="n">
        <v>631</v>
      </c>
      <c r="L70" s="8" t="n">
        <v>16.79</v>
      </c>
      <c r="M70" s="8" t="n">
        <v>46.58</v>
      </c>
      <c r="N70" s="9"/>
      <c r="O70" s="8" t="s">
        <v>26</v>
      </c>
      <c r="P70" s="9"/>
      <c r="Q70" s="9"/>
      <c r="R70" s="11" t="n">
        <v>46018</v>
      </c>
      <c r="S70" s="8" t="n">
        <v>4000</v>
      </c>
      <c r="T70" s="9"/>
    </row>
    <row r="71" customFormat="false" ht="15.75" hidden="false" customHeight="true" outlineLevel="0" collapsed="false">
      <c r="A71" s="8" t="s">
        <v>21</v>
      </c>
      <c r="B71" s="9" t="s">
        <v>179</v>
      </c>
      <c r="C71" s="9" t="s">
        <v>162</v>
      </c>
      <c r="D71" s="9" t="s">
        <v>180</v>
      </c>
      <c r="E71" s="8" t="s">
        <v>25</v>
      </c>
      <c r="F71" s="8" t="n">
        <v>77</v>
      </c>
      <c r="G71" s="9"/>
      <c r="H71" s="10" t="n">
        <v>43101</v>
      </c>
      <c r="I71" s="8" t="n">
        <f aca="true">DATEDIF(H71,TODAY(),"Y")</f>
        <v>8</v>
      </c>
      <c r="J71" s="8" t="n">
        <v>2858</v>
      </c>
      <c r="K71" s="8" t="n">
        <v>191</v>
      </c>
      <c r="L71" s="8" t="n">
        <v>27.81</v>
      </c>
      <c r="M71" s="8" t="n">
        <v>62.98</v>
      </c>
      <c r="N71" s="9"/>
      <c r="O71" s="8"/>
      <c r="P71" s="9"/>
      <c r="Q71" s="9"/>
      <c r="R71" s="11" t="n">
        <v>45859</v>
      </c>
      <c r="S71" s="8" t="n">
        <v>4000</v>
      </c>
      <c r="T71" s="9"/>
    </row>
    <row r="72" customFormat="false" ht="15.75" hidden="false" customHeight="true" outlineLevel="0" collapsed="false">
      <c r="A72" s="8" t="s">
        <v>21</v>
      </c>
      <c r="B72" s="9" t="s">
        <v>181</v>
      </c>
      <c r="C72" s="9" t="s">
        <v>162</v>
      </c>
      <c r="D72" s="9" t="s">
        <v>182</v>
      </c>
      <c r="E72" s="8" t="s">
        <v>25</v>
      </c>
      <c r="F72" s="8" t="n">
        <v>82</v>
      </c>
      <c r="G72" s="9"/>
      <c r="H72" s="10" t="n">
        <v>43101</v>
      </c>
      <c r="I72" s="8" t="n">
        <f aca="true">DATEDIF(H72,TODAY(),"Y")</f>
        <v>8</v>
      </c>
      <c r="J72" s="8" t="n">
        <v>2520</v>
      </c>
      <c r="K72" s="8" t="n">
        <v>267</v>
      </c>
      <c r="L72" s="8" t="n">
        <v>24.96</v>
      </c>
      <c r="M72" s="8" t="n">
        <v>33.72</v>
      </c>
      <c r="N72" s="9"/>
      <c r="O72" s="8" t="s">
        <v>26</v>
      </c>
      <c r="P72" s="9"/>
      <c r="Q72" s="9"/>
      <c r="R72" s="11" t="n">
        <v>45935</v>
      </c>
      <c r="S72" s="8" t="n">
        <v>4000</v>
      </c>
      <c r="T72" s="9"/>
    </row>
    <row r="73" customFormat="false" ht="15.75" hidden="false" customHeight="true" outlineLevel="0" collapsed="false">
      <c r="A73" s="8" t="s">
        <v>21</v>
      </c>
      <c r="B73" s="9" t="s">
        <v>183</v>
      </c>
      <c r="C73" s="9" t="s">
        <v>162</v>
      </c>
      <c r="D73" s="9" t="s">
        <v>184</v>
      </c>
      <c r="E73" s="8" t="s">
        <v>25</v>
      </c>
      <c r="F73" s="8" t="n">
        <v>94</v>
      </c>
      <c r="G73" s="9"/>
      <c r="H73" s="10" t="n">
        <v>43101</v>
      </c>
      <c r="I73" s="8" t="n">
        <f aca="true">DATEDIF(H73,TODAY(),"Y")</f>
        <v>8</v>
      </c>
      <c r="J73" s="8" t="n">
        <v>3285</v>
      </c>
      <c r="K73" s="8" t="n">
        <v>267</v>
      </c>
      <c r="L73" s="8" t="n">
        <v>28.17</v>
      </c>
      <c r="M73" s="8" t="n">
        <v>31.55</v>
      </c>
      <c r="N73" s="9"/>
      <c r="O73" s="8"/>
      <c r="P73" s="9"/>
      <c r="Q73" s="9"/>
      <c r="R73" s="11" t="n">
        <v>45875</v>
      </c>
      <c r="S73" s="8" t="n">
        <v>4000</v>
      </c>
      <c r="T73" s="9"/>
    </row>
    <row r="74" customFormat="false" ht="15.75" hidden="false" customHeight="true" outlineLevel="0" collapsed="false">
      <c r="A74" s="8" t="s">
        <v>21</v>
      </c>
      <c r="B74" s="9" t="s">
        <v>179</v>
      </c>
      <c r="C74" s="9" t="s">
        <v>162</v>
      </c>
      <c r="D74" s="9" t="s">
        <v>185</v>
      </c>
      <c r="E74" s="8" t="s">
        <v>25</v>
      </c>
      <c r="F74" s="8" t="n">
        <v>93</v>
      </c>
      <c r="G74" s="9"/>
      <c r="H74" s="10" t="n">
        <v>43101</v>
      </c>
      <c r="I74" s="8" t="n">
        <f aca="true">DATEDIF(H74,TODAY(),"Y")</f>
        <v>8</v>
      </c>
      <c r="J74" s="8" t="n">
        <v>3092</v>
      </c>
      <c r="K74" s="8" t="n">
        <v>556</v>
      </c>
      <c r="L74" s="8" t="n">
        <v>30.62</v>
      </c>
      <c r="M74" s="8" t="n">
        <v>32.93</v>
      </c>
      <c r="N74" s="9"/>
      <c r="O74" s="8" t="s">
        <v>26</v>
      </c>
      <c r="P74" s="9"/>
      <c r="Q74" s="9"/>
      <c r="R74" s="11" t="n">
        <v>45818</v>
      </c>
      <c r="S74" s="8" t="n">
        <v>4000</v>
      </c>
      <c r="T74" s="9"/>
    </row>
    <row r="75" customFormat="false" ht="15.75" hidden="false" customHeight="true" outlineLevel="0" collapsed="false">
      <c r="A75" s="8" t="s">
        <v>21</v>
      </c>
      <c r="B75" s="9" t="s">
        <v>181</v>
      </c>
      <c r="C75" s="9" t="s">
        <v>162</v>
      </c>
      <c r="D75" s="9" t="s">
        <v>186</v>
      </c>
      <c r="E75" s="8" t="s">
        <v>25</v>
      </c>
      <c r="F75" s="8" t="n">
        <v>78</v>
      </c>
      <c r="G75" s="9"/>
      <c r="H75" s="10" t="n">
        <v>43101</v>
      </c>
      <c r="I75" s="8" t="n">
        <f aca="true">DATEDIF(H75,TODAY(),"Y")</f>
        <v>8</v>
      </c>
      <c r="J75" s="8" t="n">
        <v>3350</v>
      </c>
      <c r="K75" s="8" t="n">
        <v>458</v>
      </c>
      <c r="L75" s="8" t="n">
        <v>29.25</v>
      </c>
      <c r="M75" s="8" t="n">
        <v>49.02</v>
      </c>
      <c r="N75" s="9"/>
      <c r="O75" s="8"/>
      <c r="P75" s="9"/>
      <c r="Q75" s="9"/>
      <c r="R75" s="11" t="n">
        <v>45969</v>
      </c>
      <c r="S75" s="8" t="n">
        <v>4000</v>
      </c>
      <c r="T75" s="9"/>
    </row>
    <row r="76" customFormat="false" ht="15.75" hidden="false" customHeight="true" outlineLevel="0" collapsed="false">
      <c r="A76" s="20" t="s">
        <v>21</v>
      </c>
      <c r="B76" s="21" t="s">
        <v>187</v>
      </c>
      <c r="C76" s="21" t="s">
        <v>162</v>
      </c>
      <c r="D76" s="21" t="s">
        <v>188</v>
      </c>
      <c r="E76" s="20" t="s">
        <v>168</v>
      </c>
      <c r="F76" s="20" t="n">
        <v>57</v>
      </c>
      <c r="G76" s="21" t="s">
        <v>189</v>
      </c>
      <c r="H76" s="22" t="n">
        <v>43101</v>
      </c>
      <c r="I76" s="20" t="n">
        <f aca="true">DATEDIF(H76,TODAY(),"Y")</f>
        <v>8</v>
      </c>
      <c r="J76" s="20" t="n">
        <v>3079</v>
      </c>
      <c r="K76" s="20" t="n">
        <v>529</v>
      </c>
      <c r="L76" s="20" t="n">
        <v>17.53</v>
      </c>
      <c r="M76" s="20" t="n">
        <v>50.9</v>
      </c>
      <c r="N76" s="21" t="s">
        <v>190</v>
      </c>
      <c r="O76" s="20" t="s">
        <v>171</v>
      </c>
      <c r="P76" s="22" t="s">
        <v>172</v>
      </c>
      <c r="Q76" s="21" t="s">
        <v>191</v>
      </c>
      <c r="R76" s="23" t="n">
        <v>45993</v>
      </c>
      <c r="S76" s="20" t="n">
        <v>4000</v>
      </c>
      <c r="T76" s="21" t="s">
        <v>192</v>
      </c>
    </row>
    <row r="77" customFormat="false" ht="15.75" hidden="false" customHeight="true" outlineLevel="0" collapsed="false">
      <c r="A77" s="8" t="s">
        <v>21</v>
      </c>
      <c r="B77" s="9" t="s">
        <v>193</v>
      </c>
      <c r="C77" s="9" t="s">
        <v>194</v>
      </c>
      <c r="D77" s="9" t="s">
        <v>195</v>
      </c>
      <c r="E77" s="8" t="s">
        <v>25</v>
      </c>
      <c r="F77" s="8" t="n">
        <v>90</v>
      </c>
      <c r="G77" s="9"/>
      <c r="H77" s="10" t="n">
        <v>42064</v>
      </c>
      <c r="I77" s="8" t="n">
        <f aca="true">DATEDIF(H77,TODAY(),"Y")</f>
        <v>11</v>
      </c>
      <c r="J77" s="8" t="n">
        <v>2512</v>
      </c>
      <c r="K77" s="8" t="n">
        <v>520</v>
      </c>
      <c r="L77" s="8" t="n">
        <v>26.03</v>
      </c>
      <c r="M77" s="8" t="n">
        <v>58.15</v>
      </c>
      <c r="N77" s="9"/>
      <c r="O77" s="8" t="s">
        <v>26</v>
      </c>
      <c r="P77" s="9"/>
      <c r="Q77" s="9"/>
      <c r="R77" s="11" t="n">
        <v>46005</v>
      </c>
      <c r="S77" s="8" t="n">
        <v>4000</v>
      </c>
      <c r="T77" s="9"/>
    </row>
    <row r="78" customFormat="false" ht="15.75" hidden="false" customHeight="true" outlineLevel="0" collapsed="false">
      <c r="A78" s="8" t="s">
        <v>21</v>
      </c>
      <c r="B78" s="9" t="s">
        <v>196</v>
      </c>
      <c r="C78" s="9" t="s">
        <v>194</v>
      </c>
      <c r="D78" s="9" t="s">
        <v>197</v>
      </c>
      <c r="E78" s="8" t="s">
        <v>25</v>
      </c>
      <c r="F78" s="8" t="n">
        <v>91</v>
      </c>
      <c r="G78" s="9"/>
      <c r="H78" s="10" t="n">
        <v>42064</v>
      </c>
      <c r="I78" s="8" t="n">
        <f aca="true">DATEDIF(H78,TODAY(),"Y")</f>
        <v>11</v>
      </c>
      <c r="J78" s="8" t="n">
        <v>2945</v>
      </c>
      <c r="K78" s="8" t="n">
        <v>701</v>
      </c>
      <c r="L78" s="8" t="n">
        <v>28.12</v>
      </c>
      <c r="M78" s="8" t="n">
        <v>43.59</v>
      </c>
      <c r="N78" s="9"/>
      <c r="O78" s="8" t="s">
        <v>26</v>
      </c>
      <c r="P78" s="9"/>
      <c r="Q78" s="9"/>
      <c r="R78" s="11" t="n">
        <v>45862</v>
      </c>
      <c r="S78" s="8" t="n">
        <v>4000</v>
      </c>
      <c r="T78" s="9"/>
    </row>
    <row r="79" customFormat="false" ht="15.75" hidden="false" customHeight="true" outlineLevel="0" collapsed="false">
      <c r="A79" s="8" t="s">
        <v>21</v>
      </c>
      <c r="B79" s="9" t="s">
        <v>198</v>
      </c>
      <c r="C79" s="9" t="s">
        <v>199</v>
      </c>
      <c r="D79" s="9" t="s">
        <v>200</v>
      </c>
      <c r="E79" s="8" t="s">
        <v>25</v>
      </c>
      <c r="F79" s="8" t="n">
        <v>82</v>
      </c>
      <c r="G79" s="9"/>
      <c r="H79" s="10" t="n">
        <v>42217</v>
      </c>
      <c r="I79" s="8" t="n">
        <f aca="true">DATEDIF(H79,TODAY(),"Y")</f>
        <v>10</v>
      </c>
      <c r="J79" s="8" t="n">
        <v>4606</v>
      </c>
      <c r="K79" s="8" t="n">
        <v>611</v>
      </c>
      <c r="L79" s="8" t="n">
        <v>20.16</v>
      </c>
      <c r="M79" s="8" t="n">
        <v>43.59</v>
      </c>
      <c r="N79" s="9"/>
      <c r="O79" s="8" t="s">
        <v>26</v>
      </c>
      <c r="P79" s="9"/>
      <c r="Q79" s="9"/>
      <c r="R79" s="11" t="n">
        <v>45880</v>
      </c>
      <c r="S79" s="8" t="n">
        <v>2000</v>
      </c>
      <c r="T79" s="9"/>
    </row>
    <row r="80" customFormat="false" ht="15.75" hidden="false" customHeight="true" outlineLevel="0" collapsed="false">
      <c r="A80" s="20" t="s">
        <v>21</v>
      </c>
      <c r="B80" s="21" t="s">
        <v>201</v>
      </c>
      <c r="C80" s="21" t="s">
        <v>199</v>
      </c>
      <c r="D80" s="21" t="s">
        <v>202</v>
      </c>
      <c r="E80" s="20" t="s">
        <v>168</v>
      </c>
      <c r="F80" s="20" t="n">
        <v>50</v>
      </c>
      <c r="G80" s="21" t="s">
        <v>203</v>
      </c>
      <c r="H80" s="22" t="n">
        <v>42217</v>
      </c>
      <c r="I80" s="20" t="n">
        <f aca="true">DATEDIF(H80,TODAY(),"Y")</f>
        <v>10</v>
      </c>
      <c r="J80" s="20" t="n">
        <v>4388</v>
      </c>
      <c r="K80" s="20" t="n">
        <v>649</v>
      </c>
      <c r="L80" s="20" t="n">
        <v>19.68</v>
      </c>
      <c r="M80" s="20" t="n">
        <v>56.91</v>
      </c>
      <c r="N80" s="21" t="s">
        <v>204</v>
      </c>
      <c r="O80" s="20" t="s">
        <v>171</v>
      </c>
      <c r="P80" s="22" t="s">
        <v>205</v>
      </c>
      <c r="Q80" s="21" t="s">
        <v>206</v>
      </c>
      <c r="R80" s="23" t="n">
        <v>45870</v>
      </c>
      <c r="S80" s="20" t="n">
        <v>2000</v>
      </c>
      <c r="T80" s="21" t="s">
        <v>207</v>
      </c>
    </row>
    <row r="81" customFormat="false" ht="15.75" hidden="false" customHeight="true" outlineLevel="0" collapsed="false">
      <c r="A81" s="20" t="s">
        <v>21</v>
      </c>
      <c r="B81" s="21" t="s">
        <v>208</v>
      </c>
      <c r="C81" s="21" t="s">
        <v>209</v>
      </c>
      <c r="D81" s="21" t="s">
        <v>210</v>
      </c>
      <c r="E81" s="20" t="s">
        <v>168</v>
      </c>
      <c r="F81" s="20" t="n">
        <v>57</v>
      </c>
      <c r="G81" s="21" t="s">
        <v>211</v>
      </c>
      <c r="H81" s="22" t="n">
        <v>42491</v>
      </c>
      <c r="I81" s="20" t="n">
        <f aca="true">DATEDIF(H81,TODAY(),"Y")</f>
        <v>10</v>
      </c>
      <c r="J81" s="20" t="n">
        <v>2848</v>
      </c>
      <c r="K81" s="20" t="n">
        <v>679</v>
      </c>
      <c r="L81" s="20" t="n">
        <v>30.72</v>
      </c>
      <c r="M81" s="20" t="n">
        <v>28.42</v>
      </c>
      <c r="N81" s="21" t="s">
        <v>212</v>
      </c>
      <c r="O81" s="20" t="s">
        <v>171</v>
      </c>
      <c r="P81" s="22" t="s">
        <v>213</v>
      </c>
      <c r="Q81" s="21" t="s">
        <v>214</v>
      </c>
      <c r="R81" s="23" t="n">
        <v>45889</v>
      </c>
      <c r="S81" s="20" t="n">
        <v>4000</v>
      </c>
      <c r="T81" s="21" t="s">
        <v>215</v>
      </c>
    </row>
    <row r="82" customFormat="false" ht="15.75" hidden="false" customHeight="true" outlineLevel="0" collapsed="false">
      <c r="A82" s="8" t="s">
        <v>21</v>
      </c>
      <c r="B82" s="9" t="s">
        <v>216</v>
      </c>
      <c r="C82" s="9" t="s">
        <v>217</v>
      </c>
      <c r="D82" s="9" t="s">
        <v>218</v>
      </c>
      <c r="E82" s="8" t="s">
        <v>25</v>
      </c>
      <c r="F82" s="8" t="n">
        <v>92</v>
      </c>
      <c r="G82" s="9"/>
      <c r="H82" s="10" t="n">
        <v>42064</v>
      </c>
      <c r="I82" s="8" t="n">
        <f aca="true">DATEDIF(H82,TODAY(),"Y")</f>
        <v>11</v>
      </c>
      <c r="J82" s="8" t="n">
        <v>3237</v>
      </c>
      <c r="K82" s="8" t="n">
        <v>637</v>
      </c>
      <c r="L82" s="8" t="n">
        <v>26.19</v>
      </c>
      <c r="M82" s="8" t="n">
        <v>44.63</v>
      </c>
      <c r="N82" s="9"/>
      <c r="O82" s="8" t="s">
        <v>26</v>
      </c>
      <c r="P82" s="9"/>
      <c r="Q82" s="9"/>
      <c r="R82" s="11" t="n">
        <v>45916</v>
      </c>
      <c r="S82" s="8" t="n">
        <v>4000</v>
      </c>
      <c r="T82" s="9"/>
    </row>
    <row r="83" customFormat="false" ht="15.75" hidden="false" customHeight="true" outlineLevel="0" collapsed="false">
      <c r="A83" s="8" t="s">
        <v>21</v>
      </c>
      <c r="B83" s="9" t="s">
        <v>219</v>
      </c>
      <c r="C83" s="9" t="s">
        <v>217</v>
      </c>
      <c r="D83" s="9" t="s">
        <v>220</v>
      </c>
      <c r="E83" s="8" t="s">
        <v>25</v>
      </c>
      <c r="F83" s="8" t="n">
        <v>87</v>
      </c>
      <c r="G83" s="9"/>
      <c r="H83" s="10" t="n">
        <v>42064</v>
      </c>
      <c r="I83" s="8" t="n">
        <f aca="true">DATEDIF(H83,TODAY(),"Y")</f>
        <v>11</v>
      </c>
      <c r="J83" s="8" t="n">
        <v>2595</v>
      </c>
      <c r="K83" s="8" t="n">
        <v>463</v>
      </c>
      <c r="L83" s="8" t="n">
        <v>26.46</v>
      </c>
      <c r="M83" s="8" t="n">
        <v>39.76</v>
      </c>
      <c r="N83" s="9"/>
      <c r="O83" s="8" t="s">
        <v>26</v>
      </c>
      <c r="P83" s="9"/>
      <c r="Q83" s="9"/>
      <c r="R83" s="11" t="n">
        <v>45877</v>
      </c>
      <c r="S83" s="8" t="n">
        <v>4000</v>
      </c>
      <c r="T83" s="9"/>
    </row>
    <row r="84" customFormat="false" ht="15.75" hidden="false" customHeight="true" outlineLevel="0" collapsed="false">
      <c r="A84" s="8" t="s">
        <v>21</v>
      </c>
      <c r="B84" s="9" t="s">
        <v>221</v>
      </c>
      <c r="C84" s="9" t="s">
        <v>217</v>
      </c>
      <c r="D84" s="9" t="s">
        <v>222</v>
      </c>
      <c r="E84" s="8" t="s">
        <v>25</v>
      </c>
      <c r="F84" s="8" t="n">
        <v>92</v>
      </c>
      <c r="G84" s="9"/>
      <c r="H84" s="10" t="n">
        <v>42064</v>
      </c>
      <c r="I84" s="8" t="n">
        <f aca="true">DATEDIF(H84,TODAY(),"Y")</f>
        <v>11</v>
      </c>
      <c r="J84" s="8" t="n">
        <v>2852</v>
      </c>
      <c r="K84" s="8" t="n">
        <v>614</v>
      </c>
      <c r="L84" s="8" t="n">
        <v>20.56</v>
      </c>
      <c r="M84" s="8" t="n">
        <v>35.06</v>
      </c>
      <c r="N84" s="9"/>
      <c r="O84" s="8"/>
      <c r="P84" s="9"/>
      <c r="Q84" s="9"/>
      <c r="R84" s="11" t="n">
        <v>45924</v>
      </c>
      <c r="S84" s="8" t="n">
        <v>4000</v>
      </c>
      <c r="T84" s="9"/>
    </row>
    <row r="85" customFormat="false" ht="15.75" hidden="false" customHeight="true" outlineLevel="0" collapsed="false">
      <c r="A85" s="8" t="s">
        <v>21</v>
      </c>
      <c r="B85" s="9" t="s">
        <v>223</v>
      </c>
      <c r="C85" s="9" t="s">
        <v>217</v>
      </c>
      <c r="D85" s="9" t="s">
        <v>224</v>
      </c>
      <c r="E85" s="8" t="s">
        <v>25</v>
      </c>
      <c r="F85" s="8" t="n">
        <v>92</v>
      </c>
      <c r="G85" s="9"/>
      <c r="H85" s="10" t="n">
        <v>42064</v>
      </c>
      <c r="I85" s="8" t="n">
        <f aca="true">DATEDIF(H85,TODAY(),"Y")</f>
        <v>11</v>
      </c>
      <c r="J85" s="8" t="n">
        <v>2697</v>
      </c>
      <c r="K85" s="8" t="n">
        <v>339</v>
      </c>
      <c r="L85" s="8" t="n">
        <v>19.37</v>
      </c>
      <c r="M85" s="8" t="n">
        <v>54.54</v>
      </c>
      <c r="N85" s="9"/>
      <c r="O85" s="8"/>
      <c r="P85" s="9"/>
      <c r="Q85" s="9"/>
      <c r="R85" s="11" t="n">
        <v>45873</v>
      </c>
      <c r="S85" s="8" t="n">
        <v>4000</v>
      </c>
      <c r="T85" s="9"/>
    </row>
    <row r="86" customFormat="false" ht="15.75" hidden="false" customHeight="true" outlineLevel="0" collapsed="false">
      <c r="A86" s="8" t="s">
        <v>21</v>
      </c>
      <c r="B86" s="9" t="s">
        <v>225</v>
      </c>
      <c r="C86" s="9" t="s">
        <v>217</v>
      </c>
      <c r="D86" s="9" t="s">
        <v>226</v>
      </c>
      <c r="E86" s="8" t="s">
        <v>25</v>
      </c>
      <c r="F86" s="8" t="n">
        <v>94</v>
      </c>
      <c r="G86" s="9"/>
      <c r="H86" s="10" t="n">
        <v>42064</v>
      </c>
      <c r="I86" s="8" t="n">
        <f aca="true">DATEDIF(H86,TODAY(),"Y")</f>
        <v>11</v>
      </c>
      <c r="J86" s="8" t="n">
        <v>3103</v>
      </c>
      <c r="K86" s="8" t="n">
        <v>348</v>
      </c>
      <c r="L86" s="8" t="n">
        <v>20.94</v>
      </c>
      <c r="M86" s="8" t="n">
        <v>39.44</v>
      </c>
      <c r="N86" s="9"/>
      <c r="O86" s="8"/>
      <c r="P86" s="9"/>
      <c r="Q86" s="9"/>
      <c r="R86" s="11" t="n">
        <v>46008</v>
      </c>
      <c r="S86" s="8" t="n">
        <v>4000</v>
      </c>
      <c r="T86" s="9"/>
    </row>
    <row r="87" customFormat="false" ht="15.75" hidden="false" customHeight="true" outlineLevel="0" collapsed="false">
      <c r="A87" s="8" t="s">
        <v>21</v>
      </c>
      <c r="B87" s="9" t="s">
        <v>227</v>
      </c>
      <c r="C87" s="9" t="s">
        <v>228</v>
      </c>
      <c r="D87" s="9" t="s">
        <v>229</v>
      </c>
      <c r="E87" s="8" t="s">
        <v>25</v>
      </c>
      <c r="F87" s="8" t="n">
        <v>83</v>
      </c>
      <c r="G87" s="9"/>
      <c r="H87" s="10" t="n">
        <v>42064</v>
      </c>
      <c r="I87" s="8" t="n">
        <f aca="true">DATEDIF(H87,TODAY(),"Y")</f>
        <v>11</v>
      </c>
      <c r="J87" s="8" t="n">
        <v>3225</v>
      </c>
      <c r="K87" s="8" t="n">
        <v>716</v>
      </c>
      <c r="L87" s="8" t="n">
        <v>20.88</v>
      </c>
      <c r="M87" s="8" t="n">
        <v>62.76</v>
      </c>
      <c r="N87" s="9"/>
      <c r="O87" s="8" t="s">
        <v>26</v>
      </c>
      <c r="P87" s="9"/>
      <c r="Q87" s="9"/>
      <c r="R87" s="11" t="n">
        <v>45935</v>
      </c>
      <c r="S87" s="8" t="n">
        <v>4000</v>
      </c>
      <c r="T87" s="9"/>
    </row>
    <row r="88" customFormat="false" ht="15.75" hidden="false" customHeight="true" outlineLevel="0" collapsed="false">
      <c r="A88" s="20" t="s">
        <v>21</v>
      </c>
      <c r="B88" s="21" t="s">
        <v>230</v>
      </c>
      <c r="C88" s="21" t="s">
        <v>228</v>
      </c>
      <c r="D88" s="21" t="s">
        <v>231</v>
      </c>
      <c r="E88" s="20" t="s">
        <v>168</v>
      </c>
      <c r="F88" s="20" t="n">
        <v>58</v>
      </c>
      <c r="G88" s="21" t="s">
        <v>232</v>
      </c>
      <c r="H88" s="22" t="n">
        <v>42064</v>
      </c>
      <c r="I88" s="20" t="n">
        <f aca="true">DATEDIF(H88,TODAY(),"Y")</f>
        <v>11</v>
      </c>
      <c r="J88" s="20" t="n">
        <v>3270</v>
      </c>
      <c r="K88" s="20" t="n">
        <v>630</v>
      </c>
      <c r="L88" s="20" t="n">
        <v>23.68</v>
      </c>
      <c r="M88" s="20" t="n">
        <v>38.63</v>
      </c>
      <c r="N88" s="21" t="s">
        <v>233</v>
      </c>
      <c r="O88" s="20" t="s">
        <v>171</v>
      </c>
      <c r="P88" s="22" t="s">
        <v>213</v>
      </c>
      <c r="Q88" s="21" t="s">
        <v>234</v>
      </c>
      <c r="R88" s="23" t="n">
        <v>45904</v>
      </c>
      <c r="S88" s="20" t="n">
        <v>4000</v>
      </c>
      <c r="T88" s="21" t="s">
        <v>235</v>
      </c>
    </row>
  </sheetData>
  <mergeCells count="1">
    <mergeCell ref="A1:T1"/>
  </mergeCells>
  <dataValidations count="2">
    <dataValidation allowBlank="true" error="Pilih: Hijau, Kuning, atau Merah" errorStyle="stop" errorTitle="Input tidak valid" operator="between" showDropDown="false" showErrorMessage="false" showInputMessage="false" sqref="E3:E88" type="list">
      <formula1>"Hijau,Kuning,Merah"</formula1>
      <formula2>0</formula2>
    </dataValidation>
    <dataValidation allowBlank="true" errorStyle="stop" operator="between" showDropDown="false" showErrorMessage="false" showInputMessage="false" sqref="O3:O88" type="list">
      <formula1>"PM,CM,EM,PdM"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1" min="9" style="0" width="18"/>
    <col collapsed="false" customWidth="true" hidden="false" outlineLevel="0" max="13" min="12" style="0" width="20"/>
    <col collapsed="false" customWidth="true" hidden="false" outlineLevel="0" max="14" min="14" style="0" width="40"/>
  </cols>
  <sheetData>
    <row r="1" customFormat="false" ht="19.5" hidden="false" customHeight="true" outlineLevel="0" collapsed="false">
      <c r="A1" s="24" t="s">
        <v>236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30" hidden="false" customHeight="true" outlineLevel="0" collapsed="false">
      <c r="A2" s="3" t="s">
        <v>237</v>
      </c>
      <c r="B2" s="3" t="s">
        <v>2</v>
      </c>
      <c r="C2" s="3" t="s">
        <v>4</v>
      </c>
      <c r="D2" s="3" t="s">
        <v>3</v>
      </c>
      <c r="E2" s="3" t="s">
        <v>15</v>
      </c>
      <c r="F2" s="3" t="s">
        <v>238</v>
      </c>
      <c r="G2" s="3" t="s">
        <v>239</v>
      </c>
      <c r="H2" s="3" t="s">
        <v>240</v>
      </c>
      <c r="I2" s="3" t="s">
        <v>241</v>
      </c>
      <c r="J2" s="3" t="s">
        <v>242</v>
      </c>
      <c r="K2" s="3" t="s">
        <v>243</v>
      </c>
      <c r="L2" s="3" t="s">
        <v>244</v>
      </c>
      <c r="M2" s="3" t="s">
        <v>245</v>
      </c>
      <c r="N2" s="3" t="s">
        <v>246</v>
      </c>
    </row>
    <row r="3" customFormat="false" ht="15.75" hidden="false" customHeight="true" outlineLevel="0" collapsed="false">
      <c r="A3" s="25" t="s">
        <v>204</v>
      </c>
      <c r="B3" s="25" t="s">
        <v>201</v>
      </c>
      <c r="C3" s="25" t="s">
        <v>202</v>
      </c>
      <c r="D3" s="25" t="s">
        <v>199</v>
      </c>
      <c r="E3" s="25" t="s">
        <v>171</v>
      </c>
      <c r="F3" s="25" t="s">
        <v>247</v>
      </c>
      <c r="G3" s="25" t="s">
        <v>248</v>
      </c>
      <c r="H3" s="25" t="s">
        <v>249</v>
      </c>
      <c r="I3" s="25" t="s">
        <v>205</v>
      </c>
      <c r="J3" s="25"/>
      <c r="K3" s="25"/>
      <c r="L3" s="25" t="s">
        <v>250</v>
      </c>
      <c r="M3" s="25" t="s">
        <v>206</v>
      </c>
      <c r="N3" s="25" t="s">
        <v>251</v>
      </c>
      <c r="P3" s="12" t="s">
        <v>27</v>
      </c>
    </row>
    <row r="4" customFormat="false" ht="15.75" hidden="false" customHeight="true" outlineLevel="0" collapsed="false">
      <c r="A4" s="25" t="s">
        <v>170</v>
      </c>
      <c r="B4" s="25" t="s">
        <v>166</v>
      </c>
      <c r="C4" s="25" t="s">
        <v>167</v>
      </c>
      <c r="D4" s="25" t="s">
        <v>162</v>
      </c>
      <c r="E4" s="25" t="s">
        <v>171</v>
      </c>
      <c r="F4" s="25" t="s">
        <v>252</v>
      </c>
      <c r="G4" s="25" t="s">
        <v>253</v>
      </c>
      <c r="H4" s="25" t="s">
        <v>254</v>
      </c>
      <c r="I4" s="25" t="s">
        <v>172</v>
      </c>
      <c r="J4" s="25"/>
      <c r="K4" s="25"/>
      <c r="L4" s="25" t="s">
        <v>255</v>
      </c>
      <c r="M4" s="25" t="s">
        <v>173</v>
      </c>
      <c r="N4" s="25" t="s">
        <v>256</v>
      </c>
      <c r="P4" s="13"/>
      <c r="Q4" s="14" t="s">
        <v>30</v>
      </c>
    </row>
    <row r="5" customFormat="false" ht="15.75" hidden="false" customHeight="true" outlineLevel="0" collapsed="false">
      <c r="A5" s="25" t="s">
        <v>190</v>
      </c>
      <c r="B5" s="25" t="s">
        <v>187</v>
      </c>
      <c r="C5" s="25" t="s">
        <v>188</v>
      </c>
      <c r="D5" s="25" t="s">
        <v>162</v>
      </c>
      <c r="E5" s="25" t="s">
        <v>171</v>
      </c>
      <c r="F5" s="25" t="s">
        <v>252</v>
      </c>
      <c r="G5" s="25" t="s">
        <v>257</v>
      </c>
      <c r="H5" s="25"/>
      <c r="I5" s="25" t="s">
        <v>172</v>
      </c>
      <c r="J5" s="25"/>
      <c r="K5" s="25"/>
      <c r="L5" s="25"/>
      <c r="M5" s="25" t="s">
        <v>191</v>
      </c>
      <c r="N5" s="25" t="s">
        <v>258</v>
      </c>
      <c r="P5" s="15"/>
      <c r="Q5" s="14" t="s">
        <v>33</v>
      </c>
    </row>
    <row r="6" customFormat="false" ht="15.75" hidden="false" customHeight="true" outlineLevel="0" collapsed="false">
      <c r="A6" s="25" t="s">
        <v>212</v>
      </c>
      <c r="B6" s="25" t="s">
        <v>208</v>
      </c>
      <c r="C6" s="25" t="s">
        <v>210</v>
      </c>
      <c r="D6" s="25" t="s">
        <v>209</v>
      </c>
      <c r="E6" s="25" t="s">
        <v>171</v>
      </c>
      <c r="F6" s="25" t="s">
        <v>259</v>
      </c>
      <c r="G6" s="25" t="s">
        <v>260</v>
      </c>
      <c r="H6" s="25" t="s">
        <v>261</v>
      </c>
      <c r="I6" s="25" t="s">
        <v>213</v>
      </c>
      <c r="J6" s="25"/>
      <c r="K6" s="25"/>
      <c r="L6" s="25" t="s">
        <v>262</v>
      </c>
      <c r="M6" s="25" t="s">
        <v>214</v>
      </c>
      <c r="N6" s="25" t="s">
        <v>263</v>
      </c>
      <c r="P6" s="16"/>
      <c r="Q6" s="14" t="s">
        <v>36</v>
      </c>
    </row>
    <row r="7" customFormat="false" ht="15.75" hidden="false" customHeight="true" outlineLevel="0" collapsed="false">
      <c r="A7" s="25" t="s">
        <v>233</v>
      </c>
      <c r="B7" s="25" t="s">
        <v>230</v>
      </c>
      <c r="C7" s="25" t="s">
        <v>231</v>
      </c>
      <c r="D7" s="25" t="s">
        <v>228</v>
      </c>
      <c r="E7" s="25" t="s">
        <v>171</v>
      </c>
      <c r="F7" s="25" t="s">
        <v>259</v>
      </c>
      <c r="G7" s="25" t="s">
        <v>264</v>
      </c>
      <c r="H7" s="25"/>
      <c r="I7" s="25" t="s">
        <v>213</v>
      </c>
      <c r="J7" s="25"/>
      <c r="K7" s="25"/>
      <c r="L7" s="25"/>
      <c r="M7" s="25" t="s">
        <v>234</v>
      </c>
      <c r="N7" s="25" t="s">
        <v>265</v>
      </c>
      <c r="P7" s="17"/>
      <c r="Q7" s="14" t="s">
        <v>39</v>
      </c>
    </row>
    <row r="8" customFormat="false" ht="15.75" hidden="false" customHeight="true" outlineLevel="0" collapsed="false">
      <c r="A8" s="25" t="s">
        <v>266</v>
      </c>
      <c r="B8" s="25" t="s">
        <v>148</v>
      </c>
      <c r="C8" s="25" t="s">
        <v>150</v>
      </c>
      <c r="D8" s="25" t="s">
        <v>149</v>
      </c>
      <c r="E8" s="25" t="s">
        <v>26</v>
      </c>
      <c r="F8" s="25" t="s">
        <v>267</v>
      </c>
      <c r="G8" s="25" t="s">
        <v>268</v>
      </c>
      <c r="H8" s="25" t="s">
        <v>268</v>
      </c>
      <c r="I8" s="25" t="s">
        <v>269</v>
      </c>
      <c r="J8" s="25" t="s">
        <v>269</v>
      </c>
      <c r="K8" s="25" t="s">
        <v>270</v>
      </c>
      <c r="L8" s="25" t="s">
        <v>271</v>
      </c>
      <c r="M8" s="25" t="s">
        <v>272</v>
      </c>
      <c r="N8" s="25" t="s">
        <v>273</v>
      </c>
      <c r="P8" s="18"/>
      <c r="Q8" s="14" t="s">
        <v>43</v>
      </c>
    </row>
    <row r="9" customFormat="false" ht="15.75" hidden="false" customHeight="true" outlineLevel="0" collapsed="false">
      <c r="A9" s="25" t="s">
        <v>274</v>
      </c>
      <c r="B9" s="25" t="s">
        <v>151</v>
      </c>
      <c r="C9" s="25" t="s">
        <v>152</v>
      </c>
      <c r="D9" s="25" t="s">
        <v>149</v>
      </c>
      <c r="E9" s="25" t="s">
        <v>26</v>
      </c>
      <c r="F9" s="25" t="s">
        <v>267</v>
      </c>
      <c r="G9" s="25" t="s">
        <v>275</v>
      </c>
      <c r="H9" s="25" t="s">
        <v>275</v>
      </c>
      <c r="I9" s="25" t="s">
        <v>276</v>
      </c>
      <c r="J9" s="25" t="s">
        <v>276</v>
      </c>
      <c r="K9" s="25" t="s">
        <v>270</v>
      </c>
      <c r="L9" s="25" t="s">
        <v>271</v>
      </c>
      <c r="M9" s="25" t="s">
        <v>272</v>
      </c>
      <c r="N9" s="25" t="s">
        <v>277</v>
      </c>
      <c r="P9" s="19"/>
      <c r="Q9" s="14" t="s">
        <v>46</v>
      </c>
    </row>
    <row r="10" customFormat="false" ht="15.75" hidden="false" customHeight="true" outlineLevel="0" collapsed="false">
      <c r="A10" s="25" t="s">
        <v>278</v>
      </c>
      <c r="B10" s="25" t="s">
        <v>198</v>
      </c>
      <c r="C10" s="25" t="s">
        <v>200</v>
      </c>
      <c r="D10" s="25" t="s">
        <v>199</v>
      </c>
      <c r="E10" s="25" t="s">
        <v>26</v>
      </c>
      <c r="F10" s="25" t="s">
        <v>267</v>
      </c>
      <c r="G10" s="25" t="s">
        <v>279</v>
      </c>
      <c r="H10" s="25" t="s">
        <v>279</v>
      </c>
      <c r="I10" s="25" t="s">
        <v>280</v>
      </c>
      <c r="J10" s="25" t="s">
        <v>280</v>
      </c>
      <c r="K10" s="25" t="s">
        <v>281</v>
      </c>
      <c r="L10" s="25" t="s">
        <v>282</v>
      </c>
      <c r="M10" s="25" t="s">
        <v>206</v>
      </c>
      <c r="N10" s="25" t="s">
        <v>283</v>
      </c>
    </row>
    <row r="12" customFormat="false" ht="15" hidden="false" customHeight="false" outlineLevel="0" collapsed="false">
      <c r="A12" s="26" t="s">
        <v>284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</sheetData>
  <mergeCells count="2">
    <mergeCell ref="A1:N1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6" min="5" style="0" width="18"/>
    <col collapsed="false" customWidth="true" hidden="false" outlineLevel="0" max="9" min="7" style="0" width="16"/>
    <col collapsed="false" customWidth="true" hidden="false" outlineLevel="0" max="10" min="10" style="0" width="14"/>
    <col collapsed="false" customWidth="true" hidden="false" outlineLevel="0" max="12" min="11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9.5" hidden="false" customHeight="true" outlineLevel="0" collapsed="false">
      <c r="A1" s="27" t="s">
        <v>285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customFormat="false" ht="34.5" hidden="false" customHeight="true" outlineLevel="0" collapsed="false">
      <c r="A2" s="5" t="s">
        <v>2</v>
      </c>
      <c r="B2" s="5" t="s">
        <v>4</v>
      </c>
      <c r="C2" s="5" t="s">
        <v>286</v>
      </c>
      <c r="D2" s="5" t="s">
        <v>287</v>
      </c>
      <c r="E2" s="5" t="s">
        <v>288</v>
      </c>
      <c r="F2" s="5" t="s">
        <v>289</v>
      </c>
      <c r="G2" s="5" t="s">
        <v>290</v>
      </c>
      <c r="H2" s="5" t="s">
        <v>291</v>
      </c>
      <c r="I2" s="5" t="s">
        <v>292</v>
      </c>
      <c r="J2" s="5" t="s">
        <v>293</v>
      </c>
      <c r="K2" s="5" t="s">
        <v>294</v>
      </c>
      <c r="L2" s="5" t="s">
        <v>295</v>
      </c>
      <c r="M2" s="5" t="s">
        <v>296</v>
      </c>
      <c r="N2" s="5" t="s">
        <v>297</v>
      </c>
      <c r="O2" s="5" t="s">
        <v>298</v>
      </c>
      <c r="P2" s="5" t="s">
        <v>299</v>
      </c>
    </row>
    <row r="3" customFormat="false" ht="15.75" hidden="false" customHeight="true" outlineLevel="0" collapsed="false">
      <c r="A3" s="25" t="s">
        <v>148</v>
      </c>
      <c r="B3" s="25" t="s">
        <v>150</v>
      </c>
      <c r="C3" s="28" t="s">
        <v>300</v>
      </c>
      <c r="D3" s="28" t="n">
        <v>2.8</v>
      </c>
      <c r="E3" s="28" t="n">
        <v>10</v>
      </c>
      <c r="F3" s="28" t="n">
        <v>52</v>
      </c>
      <c r="G3" s="28" t="n">
        <v>75</v>
      </c>
      <c r="H3" s="28" t="n">
        <v>185</v>
      </c>
      <c r="I3" s="28" t="n">
        <v>200</v>
      </c>
      <c r="J3" s="28" t="n">
        <v>395</v>
      </c>
      <c r="K3" s="28" t="n">
        <v>180</v>
      </c>
      <c r="L3" s="28" t="n">
        <v>2.8</v>
      </c>
      <c r="M3" s="28" t="n">
        <v>1240</v>
      </c>
      <c r="N3" s="28" t="n">
        <v>1500</v>
      </c>
      <c r="O3" s="28" t="s">
        <v>301</v>
      </c>
      <c r="P3" s="28"/>
    </row>
    <row r="4" customFormat="false" ht="15.75" hidden="false" customHeight="true" outlineLevel="0" collapsed="false">
      <c r="A4" s="25" t="s">
        <v>151</v>
      </c>
      <c r="B4" s="25" t="s">
        <v>152</v>
      </c>
      <c r="C4" s="28" t="s">
        <v>300</v>
      </c>
      <c r="D4" s="28" t="n">
        <v>3.1</v>
      </c>
      <c r="E4" s="28" t="n">
        <v>10</v>
      </c>
      <c r="F4" s="28" t="n">
        <v>58</v>
      </c>
      <c r="G4" s="28" t="n">
        <v>75</v>
      </c>
      <c r="H4" s="28" t="n">
        <v>190</v>
      </c>
      <c r="I4" s="28" t="n">
        <v>200</v>
      </c>
      <c r="J4" s="28" t="n">
        <v>398</v>
      </c>
      <c r="K4" s="28" t="n">
        <v>180</v>
      </c>
      <c r="L4" s="28" t="n">
        <v>2.7</v>
      </c>
      <c r="M4" s="28" t="n">
        <v>1190</v>
      </c>
      <c r="N4" s="28" t="n">
        <v>1500</v>
      </c>
      <c r="O4" s="28" t="s">
        <v>301</v>
      </c>
      <c r="P4" s="28"/>
    </row>
    <row r="5" customFormat="false" ht="15.75" hidden="false" customHeight="true" outlineLevel="0" collapsed="false">
      <c r="A5" s="25" t="s">
        <v>198</v>
      </c>
      <c r="B5" s="25" t="s">
        <v>200</v>
      </c>
      <c r="C5" s="28" t="s">
        <v>300</v>
      </c>
      <c r="D5" s="28" t="n">
        <v>1.9</v>
      </c>
      <c r="E5" s="28" t="n">
        <v>8</v>
      </c>
      <c r="F5" s="28" t="n">
        <v>48</v>
      </c>
      <c r="G5" s="28" t="n">
        <v>70</v>
      </c>
      <c r="H5" s="28" t="n">
        <v>165</v>
      </c>
      <c r="I5" s="28" t="n">
        <v>180</v>
      </c>
      <c r="J5" s="28" t="n">
        <v>400</v>
      </c>
      <c r="K5" s="28"/>
      <c r="L5" s="28"/>
      <c r="M5" s="28"/>
      <c r="N5" s="28"/>
      <c r="O5" s="28" t="s">
        <v>301</v>
      </c>
      <c r="P5" s="28"/>
    </row>
    <row r="6" customFormat="false" ht="15.75" hidden="false" customHeight="true" outlineLevel="0" collapsed="false">
      <c r="A6" s="25" t="s">
        <v>201</v>
      </c>
      <c r="B6" s="25" t="s">
        <v>202</v>
      </c>
      <c r="C6" s="28" t="s">
        <v>300</v>
      </c>
      <c r="D6" s="28" t="n">
        <v>5.2</v>
      </c>
      <c r="E6" s="28" t="n">
        <v>8</v>
      </c>
      <c r="F6" s="20" t="n">
        <v>67</v>
      </c>
      <c r="G6" s="28" t="n">
        <v>70</v>
      </c>
      <c r="H6" s="28" t="n">
        <v>178</v>
      </c>
      <c r="I6" s="28" t="n">
        <v>180</v>
      </c>
      <c r="J6" s="28" t="n">
        <v>399</v>
      </c>
      <c r="K6" s="28"/>
      <c r="L6" s="28"/>
      <c r="M6" s="28"/>
      <c r="N6" s="28"/>
      <c r="O6" s="28" t="s">
        <v>301</v>
      </c>
      <c r="P6" s="28"/>
    </row>
    <row r="7" customFormat="false" ht="15.75" hidden="false" customHeight="true" outlineLevel="0" collapsed="false">
      <c r="A7" s="25" t="s">
        <v>44</v>
      </c>
      <c r="B7" s="25" t="s">
        <v>45</v>
      </c>
      <c r="C7" s="28" t="s">
        <v>300</v>
      </c>
      <c r="D7" s="28" t="n">
        <v>2.1</v>
      </c>
      <c r="E7" s="28" t="n">
        <v>10</v>
      </c>
      <c r="F7" s="28" t="n">
        <v>45</v>
      </c>
      <c r="G7" s="28" t="n">
        <v>75</v>
      </c>
      <c r="H7" s="28" t="n">
        <v>142</v>
      </c>
      <c r="I7" s="28" t="n">
        <v>160</v>
      </c>
      <c r="J7" s="28" t="n">
        <v>398</v>
      </c>
      <c r="K7" s="28"/>
      <c r="L7" s="28" t="n">
        <v>1.8</v>
      </c>
      <c r="M7" s="28"/>
      <c r="N7" s="28"/>
      <c r="O7" s="28" t="s">
        <v>301</v>
      </c>
      <c r="P7" s="28"/>
    </row>
    <row r="9" customFormat="false" ht="15" hidden="false" customHeight="false" outlineLevel="0" collapsed="false">
      <c r="A9" s="26" t="s">
        <v>302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</sheetData>
  <mergeCells count="2">
    <mergeCell ref="A1:P1"/>
    <mergeCell ref="A9:P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24.75" hidden="false" customHeight="true" outlineLevel="0" collapsed="false">
      <c r="A1" s="29" t="s">
        <v>303</v>
      </c>
      <c r="B1" s="29"/>
      <c r="C1" s="29"/>
      <c r="D1" s="29"/>
      <c r="E1" s="29"/>
    </row>
    <row r="2" customFormat="false" ht="21.75" hidden="false" customHeight="true" outlineLevel="0" collapsed="false">
      <c r="A2" s="2" t="s">
        <v>304</v>
      </c>
      <c r="B2" s="2" t="s">
        <v>305</v>
      </c>
      <c r="C2" s="2" t="s">
        <v>306</v>
      </c>
      <c r="D2" s="2" t="s">
        <v>307</v>
      </c>
      <c r="E2" s="2" t="s">
        <v>308</v>
      </c>
    </row>
    <row r="3" customFormat="false" ht="31.5" hidden="false" customHeight="true" outlineLevel="0" collapsed="false">
      <c r="A3" s="28" t="n">
        <v>1</v>
      </c>
      <c r="B3" s="25" t="s">
        <v>309</v>
      </c>
      <c r="C3" s="25" t="s">
        <v>310</v>
      </c>
      <c r="D3" s="25" t="s">
        <v>311</v>
      </c>
      <c r="E3" s="25" t="s">
        <v>312</v>
      </c>
    </row>
    <row r="4" customFormat="false" ht="31.5" hidden="false" customHeight="true" outlineLevel="0" collapsed="false">
      <c r="A4" s="28" t="n">
        <v>2</v>
      </c>
      <c r="B4" s="25" t="s">
        <v>313</v>
      </c>
      <c r="C4" s="25" t="s">
        <v>314</v>
      </c>
      <c r="D4" s="25" t="s">
        <v>315</v>
      </c>
      <c r="E4" s="25" t="s">
        <v>316</v>
      </c>
    </row>
    <row r="5" customFormat="false" ht="31.5" hidden="false" customHeight="true" outlineLevel="0" collapsed="false">
      <c r="A5" s="28" t="n">
        <v>3</v>
      </c>
      <c r="B5" s="25" t="s">
        <v>317</v>
      </c>
      <c r="C5" s="25" t="s">
        <v>318</v>
      </c>
      <c r="D5" s="25" t="s">
        <v>319</v>
      </c>
      <c r="E5" s="25" t="s">
        <v>312</v>
      </c>
    </row>
    <row r="6" customFormat="false" ht="31.5" hidden="false" customHeight="true" outlineLevel="0" collapsed="false">
      <c r="A6" s="28" t="n">
        <v>4</v>
      </c>
      <c r="B6" s="25" t="s">
        <v>320</v>
      </c>
      <c r="C6" s="25" t="s">
        <v>321</v>
      </c>
      <c r="D6" s="25" t="s">
        <v>322</v>
      </c>
      <c r="E6" s="25" t="s">
        <v>316</v>
      </c>
    </row>
    <row r="7" customFormat="false" ht="31.5" hidden="false" customHeight="true" outlineLevel="0" collapsed="false">
      <c r="A7" s="28" t="n">
        <v>5</v>
      </c>
      <c r="B7" s="25" t="s">
        <v>323</v>
      </c>
      <c r="C7" s="25" t="s">
        <v>324</v>
      </c>
      <c r="D7" s="25" t="s">
        <v>325</v>
      </c>
      <c r="E7" s="25" t="s">
        <v>326</v>
      </c>
    </row>
    <row r="8" customFormat="false" ht="31.5" hidden="false" customHeight="true" outlineLevel="0" collapsed="false">
      <c r="A8" s="28" t="n">
        <v>6</v>
      </c>
      <c r="B8" s="25" t="s">
        <v>327</v>
      </c>
      <c r="C8" s="25" t="s">
        <v>328</v>
      </c>
      <c r="D8" s="25" t="s">
        <v>329</v>
      </c>
      <c r="E8" s="25" t="s">
        <v>326</v>
      </c>
    </row>
    <row r="9" customFormat="false" ht="31.5" hidden="false" customHeight="true" outlineLevel="0" collapsed="false">
      <c r="A9" s="28" t="n">
        <v>7</v>
      </c>
      <c r="B9" s="25" t="s">
        <v>330</v>
      </c>
      <c r="C9" s="25" t="s">
        <v>331</v>
      </c>
      <c r="D9" s="25" t="s">
        <v>332</v>
      </c>
      <c r="E9" s="25" t="s">
        <v>333</v>
      </c>
    </row>
    <row r="10" customFormat="false" ht="31.5" hidden="false" customHeight="true" outlineLevel="0" collapsed="false">
      <c r="A10" s="28" t="n">
        <v>8</v>
      </c>
      <c r="B10" s="25" t="s">
        <v>334</v>
      </c>
      <c r="C10" s="25" t="s">
        <v>335</v>
      </c>
      <c r="D10" s="25" t="s">
        <v>336</v>
      </c>
      <c r="E10" s="25" t="s">
        <v>337</v>
      </c>
    </row>
    <row r="11" customFormat="false" ht="31.5" hidden="false" customHeight="true" outlineLevel="0" collapsed="false">
      <c r="A11" s="28" t="n">
        <v>9</v>
      </c>
      <c r="B11" s="25" t="s">
        <v>338</v>
      </c>
      <c r="C11" s="25" t="s">
        <v>339</v>
      </c>
      <c r="D11" s="25" t="s">
        <v>340</v>
      </c>
      <c r="E11" s="25" t="s">
        <v>341</v>
      </c>
    </row>
    <row r="12" customFormat="false" ht="31.5" hidden="false" customHeight="true" outlineLevel="0" collapsed="false">
      <c r="A12" s="28" t="n">
        <v>10</v>
      </c>
      <c r="B12" s="25" t="s">
        <v>342</v>
      </c>
      <c r="C12" s="25" t="s">
        <v>343</v>
      </c>
      <c r="D12" s="25" t="s">
        <v>344</v>
      </c>
      <c r="E12" s="25" t="s">
        <v>344</v>
      </c>
    </row>
    <row r="14" customFormat="false" ht="15" hidden="false" customHeight="false" outlineLevel="0" collapsed="false">
      <c r="A14" s="12" t="s">
        <v>27</v>
      </c>
    </row>
    <row r="15" customFormat="false" ht="15" hidden="false" customHeight="false" outlineLevel="0" collapsed="false">
      <c r="A15" s="13"/>
      <c r="B15" s="14" t="s">
        <v>30</v>
      </c>
    </row>
    <row r="16" customFormat="false" ht="15" hidden="false" customHeight="false" outlineLevel="0" collapsed="false">
      <c r="A16" s="15"/>
      <c r="B16" s="14" t="s">
        <v>33</v>
      </c>
    </row>
    <row r="17" customFormat="false" ht="15" hidden="false" customHeight="false" outlineLevel="0" collapsed="false">
      <c r="A17" s="16"/>
      <c r="B17" s="14" t="s">
        <v>36</v>
      </c>
    </row>
    <row r="18" customFormat="false" ht="15" hidden="false" customHeight="false" outlineLevel="0" collapsed="false">
      <c r="A18" s="17"/>
      <c r="B18" s="14" t="s">
        <v>39</v>
      </c>
    </row>
    <row r="19" customFormat="false" ht="15" hidden="false" customHeight="false" outlineLevel="0" collapsed="false">
      <c r="A19" s="18"/>
      <c r="B19" s="14" t="s">
        <v>43</v>
      </c>
    </row>
    <row r="20" customFormat="false" ht="15" hidden="false" customHeight="false" outlineLevel="0" collapsed="false">
      <c r="A20" s="19"/>
      <c r="B20" s="14" t="s">
        <v>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3" min="2" style="0" width="9"/>
  </cols>
  <sheetData>
    <row r="1" customFormat="false" ht="19.5" hidden="false" customHeight="true" outlineLevel="0" collapsed="false">
      <c r="A1" s="30" t="s">
        <v>345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customFormat="false" ht="24.75" hidden="false" customHeight="true" outlineLevel="0" collapsed="false">
      <c r="A2" s="6" t="s">
        <v>346</v>
      </c>
      <c r="B2" s="6" t="s">
        <v>347</v>
      </c>
      <c r="C2" s="6" t="s">
        <v>348</v>
      </c>
      <c r="D2" s="6" t="s">
        <v>349</v>
      </c>
      <c r="E2" s="6" t="s">
        <v>350</v>
      </c>
      <c r="F2" s="6" t="s">
        <v>351</v>
      </c>
      <c r="G2" s="6" t="s">
        <v>352</v>
      </c>
      <c r="H2" s="6" t="s">
        <v>353</v>
      </c>
      <c r="I2" s="6" t="s">
        <v>354</v>
      </c>
      <c r="J2" s="6" t="s">
        <v>355</v>
      </c>
      <c r="K2" s="6" t="s">
        <v>356</v>
      </c>
      <c r="L2" s="6" t="s">
        <v>357</v>
      </c>
      <c r="M2" s="6" t="s">
        <v>358</v>
      </c>
      <c r="N2" s="6" t="s">
        <v>359</v>
      </c>
      <c r="O2" s="6" t="s">
        <v>360</v>
      </c>
      <c r="P2" s="6" t="s">
        <v>361</v>
      </c>
      <c r="Q2" s="6" t="s">
        <v>362</v>
      </c>
      <c r="R2" s="6" t="s">
        <v>363</v>
      </c>
      <c r="S2" s="6" t="s">
        <v>364</v>
      </c>
      <c r="T2" s="6" t="s">
        <v>365</v>
      </c>
      <c r="U2" s="6" t="s">
        <v>366</v>
      </c>
      <c r="V2" s="6" t="s">
        <v>367</v>
      </c>
      <c r="W2" s="6" t="s">
        <v>368</v>
      </c>
    </row>
    <row r="3" customFormat="false" ht="18" hidden="false" customHeight="true" outlineLevel="0" collapsed="false">
      <c r="A3" s="31" t="s">
        <v>369</v>
      </c>
      <c r="B3" s="32" t="n">
        <v>1</v>
      </c>
      <c r="C3" s="32" t="n">
        <v>1</v>
      </c>
      <c r="D3" s="32" t="n">
        <v>1</v>
      </c>
      <c r="E3" s="32" t="n">
        <v>0</v>
      </c>
      <c r="F3" s="32" t="n">
        <v>0</v>
      </c>
      <c r="G3" s="32" t="n">
        <v>0</v>
      </c>
      <c r="H3" s="32" t="n">
        <v>0</v>
      </c>
      <c r="I3" s="32" t="n">
        <v>0</v>
      </c>
      <c r="J3" s="32" t="n">
        <v>0</v>
      </c>
      <c r="K3" s="32" t="n">
        <v>0</v>
      </c>
      <c r="L3" s="32" t="n">
        <v>0</v>
      </c>
      <c r="M3" s="32" t="n">
        <v>0</v>
      </c>
      <c r="N3" s="32" t="n">
        <v>0</v>
      </c>
      <c r="O3" s="32" t="n">
        <v>0</v>
      </c>
      <c r="P3" s="32" t="n">
        <v>0</v>
      </c>
      <c r="Q3" s="32" t="n">
        <v>0</v>
      </c>
      <c r="R3" s="32" t="n">
        <v>0</v>
      </c>
      <c r="S3" s="32" t="n">
        <v>0</v>
      </c>
      <c r="T3" s="32" t="n">
        <v>0</v>
      </c>
      <c r="U3" s="32"/>
      <c r="V3" s="32"/>
      <c r="W3" s="32"/>
    </row>
    <row r="4" customFormat="false" ht="18" hidden="false" customHeight="true" outlineLevel="0" collapsed="false">
      <c r="A4" s="33" t="s">
        <v>370</v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3</v>
      </c>
      <c r="N4" s="20" t="n">
        <v>3</v>
      </c>
      <c r="O4" s="20" t="n">
        <v>3</v>
      </c>
      <c r="P4" s="20" t="n">
        <v>3</v>
      </c>
      <c r="Q4" s="20" t="n">
        <v>3</v>
      </c>
      <c r="R4" s="20" t="n">
        <v>5</v>
      </c>
      <c r="S4" s="20" t="n">
        <v>5</v>
      </c>
      <c r="T4" s="20" t="n">
        <v>5</v>
      </c>
      <c r="U4" s="20"/>
      <c r="V4" s="20"/>
      <c r="W4" s="20"/>
    </row>
    <row r="5" customFormat="false" ht="18" hidden="false" customHeight="true" outlineLevel="0" collapsed="false">
      <c r="A5" s="34" t="s">
        <v>371</v>
      </c>
      <c r="B5" s="35" t="n">
        <v>83</v>
      </c>
      <c r="C5" s="35" t="n">
        <v>83</v>
      </c>
      <c r="D5" s="35" t="n">
        <v>83</v>
      </c>
      <c r="E5" s="35" t="n">
        <v>84</v>
      </c>
      <c r="F5" s="35" t="n">
        <v>84</v>
      </c>
      <c r="G5" s="35" t="n">
        <v>84</v>
      </c>
      <c r="H5" s="35" t="n">
        <v>84</v>
      </c>
      <c r="I5" s="35" t="n">
        <v>84</v>
      </c>
      <c r="J5" s="35" t="n">
        <v>84</v>
      </c>
      <c r="K5" s="35" t="n">
        <v>84</v>
      </c>
      <c r="L5" s="35" t="n">
        <v>84</v>
      </c>
      <c r="M5" s="35" t="n">
        <v>83</v>
      </c>
      <c r="N5" s="35" t="n">
        <v>83</v>
      </c>
      <c r="O5" s="35" t="n">
        <v>83</v>
      </c>
      <c r="P5" s="35" t="n">
        <v>83</v>
      </c>
      <c r="Q5" s="35" t="n">
        <v>83</v>
      </c>
      <c r="R5" s="35" t="n">
        <v>81</v>
      </c>
      <c r="S5" s="35" t="n">
        <v>81</v>
      </c>
      <c r="T5" s="35" t="n">
        <v>81</v>
      </c>
      <c r="U5" s="35"/>
      <c r="V5" s="35"/>
      <c r="W5" s="35"/>
    </row>
    <row r="6" customFormat="false" ht="18" hidden="false" customHeight="true" outlineLevel="0" collapsed="false">
      <c r="A6" s="36" t="s">
        <v>372</v>
      </c>
      <c r="B6" s="37" t="n">
        <v>86</v>
      </c>
      <c r="C6" s="37" t="n">
        <v>86</v>
      </c>
      <c r="D6" s="37" t="n">
        <v>86</v>
      </c>
      <c r="E6" s="37" t="n">
        <v>86</v>
      </c>
      <c r="F6" s="37" t="n">
        <v>86</v>
      </c>
      <c r="G6" s="37" t="n">
        <v>86</v>
      </c>
      <c r="H6" s="37" t="n">
        <v>86</v>
      </c>
      <c r="I6" s="37" t="n">
        <v>86</v>
      </c>
      <c r="J6" s="37" t="n">
        <v>86</v>
      </c>
      <c r="K6" s="37" t="n">
        <v>86</v>
      </c>
      <c r="L6" s="37" t="n">
        <v>86</v>
      </c>
      <c r="M6" s="37" t="n">
        <v>86</v>
      </c>
      <c r="N6" s="37" t="n">
        <v>86</v>
      </c>
      <c r="O6" s="37" t="n">
        <v>86</v>
      </c>
      <c r="P6" s="37" t="n">
        <v>86</v>
      </c>
      <c r="Q6" s="37" t="n">
        <v>86</v>
      </c>
      <c r="R6" s="37" t="n">
        <v>86</v>
      </c>
      <c r="S6" s="37" t="n">
        <v>86</v>
      </c>
      <c r="T6" s="37" t="n">
        <v>86</v>
      </c>
      <c r="U6" s="37"/>
      <c r="V6" s="37"/>
      <c r="W6" s="37"/>
    </row>
    <row r="7" customFormat="false" ht="18" hidden="false" customHeight="true" outlineLevel="0" collapsed="false">
      <c r="A7" s="38" t="s">
        <v>373</v>
      </c>
      <c r="B7" s="39" t="n">
        <f aca="false">IFERROR(C6/C5*100,"")</f>
        <v>103.614457831325</v>
      </c>
      <c r="C7" s="39" t="n">
        <f aca="false">IFERROR(C6/C5*100,"")</f>
        <v>103.614457831325</v>
      </c>
      <c r="D7" s="39" t="n">
        <f aca="false">IFERROR(C6/C5*100,"")</f>
        <v>103.614457831325</v>
      </c>
      <c r="E7" s="39" t="n">
        <f aca="false">IFERROR(C6/C5*100,"")</f>
        <v>103.614457831325</v>
      </c>
      <c r="F7" s="39" t="n">
        <f aca="false">IFERROR(C6/C5*100,"")</f>
        <v>103.614457831325</v>
      </c>
      <c r="G7" s="39" t="n">
        <f aca="false">IFERROR(C6/C5*100,"")</f>
        <v>103.614457831325</v>
      </c>
      <c r="H7" s="39" t="n">
        <f aca="false">IFERROR(C6/C5*100,"")</f>
        <v>103.614457831325</v>
      </c>
      <c r="I7" s="39" t="n">
        <f aca="false">IFERROR(C6/C5*100,"")</f>
        <v>103.614457831325</v>
      </c>
      <c r="J7" s="39" t="n">
        <f aca="false">IFERROR(C6/C5*100,"")</f>
        <v>103.614457831325</v>
      </c>
      <c r="K7" s="39" t="n">
        <f aca="false">IFERROR(C6/C5*100,"")</f>
        <v>103.614457831325</v>
      </c>
      <c r="L7" s="39" t="n">
        <f aca="false">IFERROR(C6/C5*100,"")</f>
        <v>103.614457831325</v>
      </c>
      <c r="M7" s="39" t="n">
        <f aca="false">IFERROR(C6/C5*100,"")</f>
        <v>103.614457831325</v>
      </c>
      <c r="N7" s="39" t="n">
        <f aca="false">IFERROR(C6/C5*100,"")</f>
        <v>103.614457831325</v>
      </c>
      <c r="O7" s="39" t="n">
        <f aca="false">IFERROR(C6/C5*100,"")</f>
        <v>103.614457831325</v>
      </c>
      <c r="P7" s="39" t="n">
        <f aca="false">IFERROR(C6/C5*100,"")</f>
        <v>103.614457831325</v>
      </c>
      <c r="Q7" s="39" t="n">
        <f aca="false">IFERROR(C6/C5*100,"")</f>
        <v>103.614457831325</v>
      </c>
      <c r="R7" s="39" t="n">
        <f aca="false">IFERROR(C6/C5*100,"")</f>
        <v>103.614457831325</v>
      </c>
      <c r="S7" s="39" t="n">
        <f aca="false">IFERROR(C6/C5*100,"")</f>
        <v>103.614457831325</v>
      </c>
      <c r="T7" s="39" t="n">
        <f aca="false">IFERROR(C6/C5*100,"")</f>
        <v>103.614457831325</v>
      </c>
      <c r="U7" s="39" t="n">
        <f aca="false">IFERROR(C6/C5*100,"")</f>
        <v>103.614457831325</v>
      </c>
      <c r="V7" s="39" t="n">
        <f aca="false">IFERROR(C6/C5*100,"")</f>
        <v>103.614457831325</v>
      </c>
      <c r="W7" s="39" t="n">
        <f aca="false">IFERROR(C6/C5*100,"")</f>
        <v>103.614457831325</v>
      </c>
    </row>
    <row r="9" customFormat="false" ht="15" hidden="false" customHeight="false" outlineLevel="0" collapsed="false">
      <c r="A9" s="26" t="s">
        <v>374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</sheetData>
  <mergeCells count="2">
    <mergeCell ref="A1:W1"/>
    <mergeCell ref="A9:W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2026-05-08T08:42:56Z</dcterms:created>
  <dc:creator>openpyxl</dc:creator>
  <dc:description/>
  <dc:language>en-US</dc:language>
  <cp:lastModifiedBy/>
  <dcterms:modified xsi:type="dcterms:W3CDTF">2026-05-08T08:42:57Z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